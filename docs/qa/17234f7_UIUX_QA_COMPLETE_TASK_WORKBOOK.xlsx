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ists" sheetId="1" state="visible" r:id="rId1"/>
    <sheet name="Master Tasks" sheetId="2" state="visible" r:id="rId2"/>
    <sheet name="New Gaps Added" sheetId="3" state="visible" r:id="rId3"/>
    <sheet name="UAT Matrix" sheetId="4" state="visible" r:id="rId4"/>
    <sheet name="Declutter Plan" sheetId="5" state="visible" r:id="rId5"/>
    <sheet name="Scope Decisions" sheetId="6" state="visible" r:id="rId6"/>
    <sheet name="Heuristic Review" sheetId="7" state="visible" r:id="rId7"/>
    <sheet name="Dashboard" sheetId="8" state="visible" r:id="rId8"/>
  </sheets>
  <definedNames/>
</workbook>
</file>

<file path=xl/styles.xml><?xml version="1.0" encoding="utf-8"?>
<styleSheet xmlns="http://schemas.openxmlformats.org/spreadsheetml/2006/main">
  <numFmts count="1">
    <numFmt numFmtId="164" formatCode="yyyy-mm-dd"/>
  </numFmts>
  <fonts count="15">
    <font>
      <name val="Carlito"/>
      <sz val="11"/>
    </font>
    <font>
      <name val="Carlito"/>
      <b val="1"/>
      <color rgb="FFFFFFFF"/>
      <sz val="11"/>
    </font>
    <font>
      <name val="Carlito"/>
      <color rgb="FF182230"/>
      <sz val="11"/>
    </font>
    <font>
      <name val="Carlito"/>
      <b val="1"/>
      <color rgb="FFFFFFFF"/>
      <sz val="18"/>
    </font>
    <font>
      <name val="Carlito"/>
      <color rgb="FFD0D5DD"/>
      <sz val="10"/>
    </font>
    <font>
      <name val="Carlito"/>
      <b val="1"/>
      <color rgb="FFFFFFFF"/>
      <sz val="10"/>
    </font>
    <font>
      <name val="Carlito"/>
      <color rgb="FF182230"/>
      <sz val="9"/>
    </font>
    <font>
      <name val="Carlito"/>
      <b val="1"/>
      <color rgb="FFFFFFFF"/>
      <sz val="20"/>
    </font>
    <font>
      <name val="Carlito"/>
      <b val="1"/>
      <color rgb="FFFFFFFF"/>
      <sz val="9"/>
    </font>
    <font>
      <name val="Carlito"/>
      <b val="1"/>
      <color rgb="FF5925DC"/>
      <sz val="22"/>
    </font>
    <font>
      <name val="Carlito"/>
      <b val="1"/>
      <color rgb="FFB42318"/>
      <sz val="22"/>
    </font>
    <font>
      <name val="Carlito"/>
      <b val="1"/>
      <color rgb="FFB54708"/>
      <sz val="22"/>
    </font>
    <font>
      <name val="Carlito"/>
      <b val="1"/>
      <color rgb="FF175CD3"/>
      <sz val="22"/>
    </font>
    <font>
      <name val="Carlito"/>
      <b val="1"/>
      <color rgb="FF027A48"/>
      <sz val="22"/>
    </font>
    <font>
      <name val="Carlito"/>
      <b val="1"/>
      <color rgb="FFB42318"/>
      <sz val="16"/>
    </font>
  </fonts>
  <fills count="11">
    <fill>
      <patternFill/>
    </fill>
    <fill>
      <patternFill patternType="gray125"/>
    </fill>
    <fill>
      <patternFill patternType="solid">
        <fgColor rgb="FF172033"/>
      </patternFill>
    </fill>
    <fill>
      <patternFill patternType="solid">
        <fgColor rgb="FFFFFFFF"/>
      </patternFill>
    </fill>
    <fill>
      <patternFill patternType="solid">
        <fgColor rgb="FF0B1220"/>
      </patternFill>
    </fill>
    <fill>
      <patternFill patternType="solid">
        <fgColor rgb="FF111827"/>
      </patternFill>
    </fill>
    <fill>
      <patternFill patternType="solid">
        <fgColor rgb="FFEDE9FE"/>
      </patternFill>
    </fill>
    <fill>
      <patternFill patternType="solid">
        <fgColor rgb="FFFEE4E2"/>
      </patternFill>
    </fill>
    <fill>
      <patternFill patternType="solid">
        <fgColor rgb="FFFEF0C7"/>
      </patternFill>
    </fill>
    <fill>
      <patternFill patternType="solid">
        <fgColor rgb="FFD1E9FF"/>
      </patternFill>
    </fill>
    <fill>
      <patternFill patternType="solid">
        <fgColor rgb="FFD1FADF"/>
      </patternFill>
    </fill>
  </fills>
  <borders count="2">
    <border/>
    <border/>
  </borders>
  <cellStyleXfs count="1">
    <xf numFmtId="0" fontId="0" fillId="0" borderId="1"/>
  </cellStyleXfs>
  <cellXfs count="11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1" fillId="2" borderId="0" applyAlignment="1" pivotButton="0" quotePrefix="0" xfId="0">
      <alignment wrapText="1"/>
    </xf>
    <xf numFmtId="0" fontId="2" fillId="3" borderId="0" applyAlignment="1" pivotButton="0" quotePrefix="0" xfId="0">
      <alignment wrapText="1"/>
    </xf>
    <xf numFmtId="0" fontId="0" fillId="0" borderId="0" applyAlignment="1" pivotButton="0" quotePrefix="0" xfId="0">
      <alignment wrapText="1"/>
    </xf>
    <xf numFmtId="0" fontId="1" fillId="2" borderId="1"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horizontal="left"/>
    </xf>
    <xf numFmtId="0" fontId="3" fillId="4" borderId="0" applyAlignment="1" pivotButton="0" quotePrefix="0" xfId="0">
      <alignment horizontal="left" vertical="center"/>
    </xf>
    <xf numFmtId="0" fontId="0" fillId="4" borderId="1" pivotButton="0" quotePrefix="0" xfId="0"/>
    <xf numFmtId="0" fontId="3" fillId="4" borderId="1" pivotButton="0" quotePrefix="0" xfId="0"/>
    <xf numFmtId="0" fontId="3" fillId="4" borderId="1" applyAlignment="1" pivotButton="0" quotePrefix="0" xfId="0">
      <alignment horizontal="left"/>
    </xf>
    <xf numFmtId="0" fontId="3" fillId="4" borderId="1" applyAlignment="1" pivotButton="0" quotePrefix="0" xfId="0">
      <alignment horizontal="left" vertical="center"/>
    </xf>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vertical="center" wrapText="1"/>
    </xf>
    <xf numFmtId="0" fontId="0" fillId="5" borderId="1" pivotButton="0" quotePrefix="0" xfId="0"/>
    <xf numFmtId="0" fontId="4" fillId="5" borderId="1" pivotButton="0" quotePrefix="0" xfId="0"/>
    <xf numFmtId="0" fontId="4" fillId="5" borderId="1" applyAlignment="1" pivotButton="0" quotePrefix="0" xfId="0">
      <alignment wrapText="1"/>
    </xf>
    <xf numFmtId="0" fontId="4" fillId="5" borderId="1" applyAlignment="1" pivotButton="0" quotePrefix="0" xfId="0">
      <alignment vertical="center" wrapText="1"/>
    </xf>
    <xf numFmtId="0" fontId="5" fillId="2" borderId="0" pivotButton="0" quotePrefix="0" xfId="0"/>
    <xf numFmtId="0" fontId="5" fillId="2" borderId="0" applyAlignment="1" pivotButton="0" quotePrefix="0" xfId="0">
      <alignment wrapText="1"/>
    </xf>
    <xf numFmtId="0" fontId="5"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1" pivotButton="0" quotePrefix="0" xfId="0"/>
    <xf numFmtId="0" fontId="5" fillId="2" borderId="1" applyAlignment="1" pivotButton="0" quotePrefix="0" xfId="0">
      <alignment wrapText="1"/>
    </xf>
    <xf numFmtId="0" fontId="5" fillId="2" borderId="1" applyAlignment="1" pivotButton="0" quotePrefix="0" xfId="0">
      <alignment horizontal="center" wrapText="1"/>
    </xf>
    <xf numFmtId="0" fontId="5" fillId="2" borderId="1" applyAlignment="1" pivotButton="0" quotePrefix="0" xfId="0">
      <alignment horizontal="center" vertical="center" wrapText="1"/>
    </xf>
    <xf numFmtId="0" fontId="6" fillId="3" borderId="0" pivotButton="0" quotePrefix="0" xfId="0"/>
    <xf numFmtId="0" fontId="6" fillId="3" borderId="0" applyAlignment="1" pivotButton="0" quotePrefix="0" xfId="0">
      <alignment wrapText="1"/>
    </xf>
    <xf numFmtId="0" fontId="6" fillId="3" borderId="0" applyAlignment="1" pivotButton="0" quotePrefix="0" xfId="0">
      <alignment vertical="top" wrapText="1"/>
    </xf>
    <xf numFmtId="0" fontId="6" fillId="3" borderId="1" pivotButton="0" quotePrefix="0" xfId="0"/>
    <xf numFmtId="0" fontId="6" fillId="3" borderId="1" applyAlignment="1" pivotButton="0" quotePrefix="0" xfId="0">
      <alignment wrapText="1"/>
    </xf>
    <xf numFmtId="0" fontId="6" fillId="3" borderId="1" applyAlignment="1" pivotButton="0" quotePrefix="0" xfId="0">
      <alignment vertical="top" wrapText="1"/>
    </xf>
    <xf numFmtId="164" fontId="6" fillId="3" borderId="0" applyAlignment="1" pivotButton="0" quotePrefix="0" xfId="0">
      <alignment vertical="top" wrapText="1"/>
    </xf>
    <xf numFmtId="164" fontId="6" fillId="3" borderId="1" applyAlignment="1" pivotButton="0" quotePrefix="0" xfId="0">
      <alignment vertical="top" wrapText="1"/>
    </xf>
    <xf numFmtId="0" fontId="6" fillId="3" borderId="0" applyAlignment="1" pivotButton="0" quotePrefix="0" xfId="0">
      <alignment horizontal="center" vertical="top" wrapText="1"/>
    </xf>
    <xf numFmtId="0" fontId="6" fillId="3" borderId="1" applyAlignment="1" pivotButton="0" quotePrefix="0" xfId="0">
      <alignment horizontal="center" vertical="top" wrapText="1"/>
    </xf>
    <xf numFmtId="0" fontId="7" fillId="4" borderId="0" pivotButton="0" quotePrefix="0" xfId="0"/>
    <xf numFmtId="0" fontId="7" fillId="4" borderId="0" applyAlignment="1" pivotButton="0" quotePrefix="0" xfId="0">
      <alignment vertical="center"/>
    </xf>
    <xf numFmtId="0" fontId="7" fillId="4" borderId="1" pivotButton="0" quotePrefix="0" xfId="0"/>
    <xf numFmtId="0" fontId="7" fillId="4" borderId="1" applyAlignment="1" pivotButton="0" quotePrefix="0" xfId="0">
      <alignment vertical="center"/>
    </xf>
    <xf numFmtId="0" fontId="8" fillId="2" borderId="0" pivotButton="0" quotePrefix="0" xfId="0"/>
    <xf numFmtId="0" fontId="8" fillId="2" borderId="0" applyAlignment="1" pivotButton="0" quotePrefix="0" xfId="0">
      <alignment horizontal="center"/>
    </xf>
    <xf numFmtId="0" fontId="8" fillId="2" borderId="0" applyAlignment="1" pivotButton="0" quotePrefix="0" xfId="0">
      <alignment horizontal="center" vertical="center"/>
    </xf>
    <xf numFmtId="0" fontId="8" fillId="2" borderId="1" pivotButton="0" quotePrefix="0" xfId="0"/>
    <xf numFmtId="0" fontId="8" fillId="2" borderId="1" applyAlignment="1" pivotButton="0" quotePrefix="0" xfId="0">
      <alignment horizontal="center"/>
    </xf>
    <xf numFmtId="0" fontId="8" fillId="2" borderId="1" applyAlignment="1" pivotButton="0" quotePrefix="0" xfId="0">
      <alignment horizontal="center" vertical="center"/>
    </xf>
    <xf numFmtId="0" fontId="0" fillId="6" borderId="0" pivotButton="0" quotePrefix="0" xfId="0"/>
    <xf numFmtId="0" fontId="9" fillId="6" borderId="0" pivotButton="0" quotePrefix="0" xfId="0"/>
    <xf numFmtId="0" fontId="9" fillId="6" borderId="0" applyAlignment="1" pivotButton="0" quotePrefix="0" xfId="0">
      <alignment horizontal="center"/>
    </xf>
    <xf numFmtId="0" fontId="9" fillId="6" borderId="0" applyAlignment="1" pivotButton="0" quotePrefix="0" xfId="0">
      <alignment horizontal="center" vertical="center"/>
    </xf>
    <xf numFmtId="0" fontId="0" fillId="6" borderId="1" pivotButton="0" quotePrefix="0" xfId="0"/>
    <xf numFmtId="0" fontId="9" fillId="6" borderId="1" pivotButton="0" quotePrefix="0" xfId="0"/>
    <xf numFmtId="0" fontId="9" fillId="6" borderId="1" applyAlignment="1" pivotButton="0" quotePrefix="0" xfId="0">
      <alignment horizontal="center"/>
    </xf>
    <xf numFmtId="0" fontId="9" fillId="6" borderId="1" applyAlignment="1" pivotButton="0" quotePrefix="0" xfId="0">
      <alignment horizontal="center" vertical="center"/>
    </xf>
    <xf numFmtId="0" fontId="0" fillId="7" borderId="0" pivotButton="0" quotePrefix="0" xfId="0"/>
    <xf numFmtId="0" fontId="10" fillId="7" borderId="0" pivotButton="0" quotePrefix="0" xfId="0"/>
    <xf numFmtId="0" fontId="10" fillId="7" borderId="0" applyAlignment="1" pivotButton="0" quotePrefix="0" xfId="0">
      <alignment horizontal="center"/>
    </xf>
    <xf numFmtId="0" fontId="10" fillId="7" borderId="0" applyAlignment="1" pivotButton="0" quotePrefix="0" xfId="0">
      <alignment horizontal="center" vertical="center"/>
    </xf>
    <xf numFmtId="0" fontId="0" fillId="7" borderId="1" pivotButton="0" quotePrefix="0" xfId="0"/>
    <xf numFmtId="0" fontId="10" fillId="7" borderId="1" pivotButton="0" quotePrefix="0" xfId="0"/>
    <xf numFmtId="0" fontId="10" fillId="7" borderId="1" applyAlignment="1" pivotButton="0" quotePrefix="0" xfId="0">
      <alignment horizontal="center"/>
    </xf>
    <xf numFmtId="0" fontId="10" fillId="7" borderId="1" applyAlignment="1" pivotButton="0" quotePrefix="0" xfId="0">
      <alignment horizontal="center" vertical="center"/>
    </xf>
    <xf numFmtId="0" fontId="0" fillId="8" borderId="0" pivotButton="0" quotePrefix="0" xfId="0"/>
    <xf numFmtId="0" fontId="11" fillId="8" borderId="0" pivotButton="0" quotePrefix="0" xfId="0"/>
    <xf numFmtId="0" fontId="11" fillId="8" borderId="0" applyAlignment="1" pivotButton="0" quotePrefix="0" xfId="0">
      <alignment horizontal="center"/>
    </xf>
    <xf numFmtId="0" fontId="11" fillId="8" borderId="0" applyAlignment="1" pivotButton="0" quotePrefix="0" xfId="0">
      <alignment horizontal="center" vertical="center"/>
    </xf>
    <xf numFmtId="0" fontId="0" fillId="8" borderId="1" pivotButton="0" quotePrefix="0" xfId="0"/>
    <xf numFmtId="0" fontId="11" fillId="8" borderId="1" pivotButton="0" quotePrefix="0" xfId="0"/>
    <xf numFmtId="0" fontId="11" fillId="8" borderId="1" applyAlignment="1" pivotButton="0" quotePrefix="0" xfId="0">
      <alignment horizontal="center"/>
    </xf>
    <xf numFmtId="0" fontId="11" fillId="8" borderId="1" applyAlignment="1" pivotButton="0" quotePrefix="0" xfId="0">
      <alignment horizontal="center" vertical="center"/>
    </xf>
    <xf numFmtId="0" fontId="0" fillId="9" borderId="0" pivotButton="0" quotePrefix="0" xfId="0"/>
    <xf numFmtId="0" fontId="12" fillId="9" borderId="0" pivotButton="0" quotePrefix="0" xfId="0"/>
    <xf numFmtId="0" fontId="12" fillId="9" borderId="0" applyAlignment="1" pivotButton="0" quotePrefix="0" xfId="0">
      <alignment horizontal="center"/>
    </xf>
    <xf numFmtId="0" fontId="12" fillId="9" borderId="0" applyAlignment="1" pivotButton="0" quotePrefix="0" xfId="0">
      <alignment horizontal="center" vertical="center"/>
    </xf>
    <xf numFmtId="0" fontId="0" fillId="9" borderId="1" pivotButton="0" quotePrefix="0" xfId="0"/>
    <xf numFmtId="0" fontId="12" fillId="9" borderId="1" pivotButton="0" quotePrefix="0" xfId="0"/>
    <xf numFmtId="0" fontId="12" fillId="9" borderId="1" applyAlignment="1" pivotButton="0" quotePrefix="0" xfId="0">
      <alignment horizontal="center"/>
    </xf>
    <xf numFmtId="0" fontId="12" fillId="9" borderId="1" applyAlignment="1" pivotButton="0" quotePrefix="0" xfId="0">
      <alignment horizontal="center" vertical="center"/>
    </xf>
    <xf numFmtId="0" fontId="0" fillId="10" borderId="0" pivotButton="0" quotePrefix="0" xfId="0"/>
    <xf numFmtId="0" fontId="13" fillId="10" borderId="0" pivotButton="0" quotePrefix="0" xfId="0"/>
    <xf numFmtId="0" fontId="13" fillId="10" borderId="0" applyAlignment="1" pivotButton="0" quotePrefix="0" xfId="0">
      <alignment horizontal="center"/>
    </xf>
    <xf numFmtId="0" fontId="13" fillId="10" borderId="0" applyAlignment="1" pivotButton="0" quotePrefix="0" xfId="0">
      <alignment horizontal="center" vertical="center"/>
    </xf>
    <xf numFmtId="0" fontId="0" fillId="10" borderId="1" pivotButton="0" quotePrefix="0" xfId="0"/>
    <xf numFmtId="0" fontId="13" fillId="10" borderId="1" pivotButton="0" quotePrefix="0" xfId="0"/>
    <xf numFmtId="0" fontId="13" fillId="10" borderId="1" applyAlignment="1" pivotButton="0" quotePrefix="0" xfId="0">
      <alignment horizontal="center"/>
    </xf>
    <xf numFmtId="0" fontId="13" fillId="10" borderId="1" applyAlignment="1" pivotButton="0" quotePrefix="0" xfId="0">
      <alignment horizontal="center" vertical="center"/>
    </xf>
    <xf numFmtId="9" fontId="13" fillId="10" borderId="0" applyAlignment="1" pivotButton="0" quotePrefix="0" xfId="0">
      <alignment horizontal="center" vertical="center"/>
    </xf>
    <xf numFmtId="9" fontId="13" fillId="10" borderId="1" applyAlignment="1" pivotButton="0" quotePrefix="0" xfId="0">
      <alignment horizontal="center" vertical="center"/>
    </xf>
    <xf numFmtId="0" fontId="14" fillId="7" borderId="0" pivotButton="0" quotePrefix="0" xfId="0"/>
    <xf numFmtId="0" fontId="14" fillId="7" borderId="0" applyAlignment="1" pivotButton="0" quotePrefix="0" xfId="0">
      <alignment wrapText="1"/>
    </xf>
    <xf numFmtId="0" fontId="14" fillId="7" borderId="0" applyAlignment="1" pivotButton="0" quotePrefix="0" xfId="0">
      <alignment horizontal="center" wrapText="1"/>
    </xf>
    <xf numFmtId="0" fontId="14" fillId="7" borderId="0" applyAlignment="1" pivotButton="0" quotePrefix="0" xfId="0">
      <alignment horizontal="center" vertical="center" wrapText="1"/>
    </xf>
    <xf numFmtId="0" fontId="14" fillId="7" borderId="1" pivotButton="0" quotePrefix="0" xfId="0"/>
    <xf numFmtId="0" fontId="14" fillId="7" borderId="1" applyAlignment="1" pivotButton="0" quotePrefix="0" xfId="0">
      <alignment wrapText="1"/>
    </xf>
    <xf numFmtId="0" fontId="14" fillId="7" borderId="1" applyAlignment="1" pivotButton="0" quotePrefix="0" xfId="0">
      <alignment horizontal="center" wrapText="1"/>
    </xf>
    <xf numFmtId="0" fontId="14" fillId="7" borderId="1" applyAlignment="1" pivotButton="0" quotePrefix="0" xfId="0">
      <alignment horizontal="center" vertical="center" wrapText="1"/>
    </xf>
    <xf numFmtId="164" fontId="6" fillId="3" borderId="0" applyAlignment="1" pivotButton="0" quotePrefix="0" xfId="0">
      <alignment vertical="top" wrapText="1"/>
    </xf>
    <xf numFmtId="9" fontId="13" fillId="10" borderId="1" applyAlignment="1" pivotButton="0" quotePrefix="0" xfId="0">
      <alignment horizontal="center" vertical="center"/>
    </xf>
  </cellXfs>
  <cellStyles count="1">
    <cellStyle name="Normal" xfId="0"/>
  </cellStyles>
  <dxfs count="30">
    <dxf>
      <font>
        <b val="1"/>
        <color rgb="FFB42318"/>
      </font>
      <fill>
        <patternFill patternType="solid">
          <bgColor rgb="FFFEE4E2"/>
        </patternFill>
      </fill>
    </dxf>
    <dxf>
      <font>
        <b val="1"/>
        <color rgb="FFB54708"/>
      </font>
      <fill>
        <patternFill patternType="solid">
          <bgColor rgb="FFFEF0C7"/>
        </patternFill>
      </fill>
    </dxf>
    <dxf>
      <font>
        <b val="1"/>
        <color rgb="FF175CD3"/>
      </font>
      <fill>
        <patternFill patternType="solid">
          <bgColor rgb="FFD1E9FF"/>
        </patternFill>
      </fill>
    </dxf>
    <dxf>
      <font>
        <b val="1"/>
        <color rgb="FFB42318"/>
      </font>
      <fill>
        <patternFill patternType="solid">
          <bgColor rgb="FFFEE4E2"/>
        </patternFill>
      </fill>
    </dxf>
    <dxf>
      <font>
        <color rgb="FFB54708"/>
      </font>
      <fill>
        <patternFill patternType="solid">
          <bgColor rgb="FFFEF0C7"/>
        </patternFill>
      </fill>
    </dxf>
    <dxf>
      <font>
        <color rgb="FF475467"/>
      </font>
      <fill>
        <patternFill patternType="solid">
          <bgColor rgb="FFEAECF0"/>
        </patternFill>
      </fill>
    </dxf>
    <dxf>
      <font>
        <b val="1"/>
        <color rgb="FF5925DC"/>
      </font>
      <fill>
        <patternFill patternType="solid">
          <bgColor rgb="FFEDE9FE"/>
        </patternFill>
      </fill>
    </dxf>
    <dxf>
      <font>
        <color rgb="FF475467"/>
      </font>
      <fill>
        <patternFill patternType="solid">
          <bgColor rgb="FFEAECF0"/>
        </patternFill>
      </fill>
    </dxf>
    <dxf>
      <font>
        <b val="1"/>
        <color rgb="FF175CD3"/>
      </font>
      <fill>
        <patternFill patternType="solid">
          <bgColor rgb="FFD1E9FF"/>
        </patternFill>
      </fill>
    </dxf>
    <dxf>
      <font>
        <b val="1"/>
        <color rgb="FFB42318"/>
      </font>
      <fill>
        <patternFill patternType="solid">
          <bgColor rgb="FFFEE4E2"/>
        </patternFill>
      </fill>
    </dxf>
    <dxf>
      <font>
        <b val="1"/>
        <color rgb="FF5925DC"/>
      </font>
      <fill>
        <patternFill patternType="solid">
          <bgColor rgb="FFEDE9FE"/>
        </patternFill>
      </fill>
    </dxf>
    <dxf>
      <font>
        <b val="1"/>
        <color rgb="FF027A48"/>
      </font>
      <fill>
        <patternFill patternType="solid">
          <bgColor rgb="FFD1FADF"/>
        </patternFill>
      </fill>
    </dxf>
    <dxf>
      <font>
        <b val="1"/>
        <color rgb="FFB42318"/>
      </font>
      <fill>
        <patternFill patternType="solid">
          <bgColor rgb="FFFEE4E2"/>
        </patternFill>
      </fill>
    </dxf>
    <dxf>
      <font>
        <b val="1"/>
        <color rgb="FFB54708"/>
      </font>
      <fill>
        <patternFill patternType="solid">
          <bgColor rgb="FFFEF0C7"/>
        </patternFill>
      </fill>
    </dxf>
    <dxf>
      <font>
        <b val="1"/>
        <color rgb="FF175CD3"/>
      </font>
      <fill>
        <patternFill patternType="solid">
          <bgColor rgb="FFD1E9FF"/>
        </patternFill>
      </fill>
    </dxf>
    <dxf>
      <font>
        <b val="1"/>
        <color rgb="FFB42318"/>
      </font>
      <fill>
        <patternFill patternType="solid">
          <bgColor rgb="FFFEE4E2"/>
        </patternFill>
      </fill>
    </dxf>
    <dxf>
      <font>
        <b val="1"/>
        <color rgb="FFB54708"/>
      </font>
      <fill>
        <patternFill patternType="solid">
          <bgColor rgb="FFFEF0C7"/>
        </patternFill>
      </fill>
    </dxf>
    <dxf>
      <font>
        <b val="1"/>
        <color rgb="FF175CD3"/>
      </font>
      <fill>
        <patternFill patternType="solid">
          <bgColor rgb="FFD1E9FF"/>
        </patternFill>
      </fill>
    </dxf>
    <dxf>
      <font>
        <b val="1"/>
        <color rgb="FF027A48"/>
      </font>
      <fill>
        <patternFill patternType="solid">
          <bgColor rgb="FFD1FADF"/>
        </patternFill>
      </fill>
    </dxf>
    <dxf>
      <font>
        <b val="1"/>
        <color rgb="FFB42318"/>
      </font>
      <fill>
        <patternFill patternType="solid">
          <bgColor rgb="FFFEE4E2"/>
        </patternFill>
      </fill>
    </dxf>
    <dxf>
      <font>
        <b val="1"/>
        <color rgb="FFB54708"/>
      </font>
      <fill>
        <patternFill patternType="solid">
          <bgColor rgb="FFFEF0C7"/>
        </patternFill>
      </fill>
    </dxf>
    <dxf>
      <font>
        <b val="1"/>
        <color rgb="FFB42318"/>
      </font>
      <fill>
        <patternFill patternType="solid">
          <bgColor rgb="FFFEE4E2"/>
        </patternFill>
      </fill>
    </dxf>
    <dxf>
      <font>
        <b val="1"/>
        <color rgb="FFB54708"/>
      </font>
      <fill>
        <patternFill patternType="solid">
          <bgColor rgb="FFFEF0C7"/>
        </patternFill>
      </fill>
    </dxf>
    <dxf>
      <font>
        <b val="1"/>
        <color rgb="FF175CD3"/>
      </font>
      <fill>
        <patternFill patternType="solid">
          <bgColor rgb="FFD1E9FF"/>
        </patternFill>
      </fill>
    </dxf>
    <dxf>
      <font>
        <b val="1"/>
        <color rgb="FFB54708"/>
      </font>
      <fill>
        <patternFill patternType="solid">
          <bgColor rgb="FFFEF0C7"/>
        </patternFill>
      </fill>
    </dxf>
    <dxf>
      <font>
        <b val="1"/>
        <color rgb="FF027A48"/>
      </font>
      <fill>
        <patternFill patternType="solid">
          <bgColor rgb="FFD1FADF"/>
        </patternFill>
      </fill>
    </dxf>
    <dxf>
      <font>
        <b val="1"/>
        <color rgb="FFB42318"/>
      </font>
      <fill>
        <patternFill patternType="solid">
          <bgColor rgb="FFFEE4E2"/>
        </patternFill>
      </fill>
    </dxf>
    <dxf>
      <font>
        <color rgb="FFB54708"/>
      </font>
      <fill>
        <patternFill patternType="solid">
          <bgColor rgb="FFFEF0C7"/>
        </patternFill>
      </fill>
    </dxf>
    <dxf>
      <font>
        <b val="1"/>
        <color rgb="FF027A48"/>
      </font>
      <fill>
        <patternFill patternType="solid">
          <bgColor rgb="FFD1FADF"/>
        </patternFill>
      </fill>
    </dxf>
    <dxf>
      <font>
        <b val="1"/>
        <color rgb="FFB42318"/>
      </font>
      <fill>
        <patternFill patternType="solid">
          <bgColor rgb="FFFEE4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lstStyle/>
          <a:p>
            <a:r>
              <a:t>Tasks by Priority</a:t>
            </a:r>
          </a:p>
        </rich>
      </tx>
    </title>
    <plotArea>
      <barChart>
        <barDir val="col"/>
        <grouping val="clustered"/>
        <varyColors val="0"/>
        <ser>
          <idx val="0"/>
          <order val="0"/>
          <tx>
            <v>Count</v>
          </tx>
          <spPr>
            <a:ln>
              <a:prstDash val="solid"/>
            </a:ln>
          </spPr>
          <cat>
            <strRef>
              <f>'Dashboard'!$D$16:$D$18</f>
              <strCache>
                <ptCount val="0"/>
              </strCache>
            </strRef>
          </cat>
          <val>
            <numRef>
              <f>'Dashboard'!$E$16:$E$18</f>
              <numCache>
                <formatCode>General</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t>Tasks by Phase</a:t>
            </a:r>
          </a:p>
        </rich>
      </tx>
    </title>
    <plotArea>
      <barChart>
        <barDir val="col"/>
        <grouping val="clustered"/>
        <varyColors val="0"/>
        <ser>
          <idx val="0"/>
          <order val="0"/>
          <tx>
            <v>Count</v>
          </tx>
          <spPr>
            <a:ln>
              <a:prstDash val="solid"/>
            </a:ln>
          </spPr>
          <cat>
            <strRef>
              <f>'Dashboard'!$G$16:$G$20</f>
              <strCache>
                <ptCount val="0"/>
              </strCache>
            </strRef>
          </cat>
          <val>
            <numRef>
              <f>'Dashboard'!$H$16:$H$20</f>
              <numCache>
                <formatCode>General</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0</colOff>
      <row>2</row>
      <rowOff>0</rowOff>
    </from>
    <to>
      <col>17</col>
      <colOff>0</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17</row>
      <rowOff>0</rowOff>
    </from>
    <to>
      <col>17</col>
      <colOff>0</colOff>
      <row>34</row>
      <rowOff>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MasterTasksTable" displayName="MasterTasksTable" ref="A4:Z122" headerRowCount="1" totalsRowCount="0" totalsRowShown="0">
  <tableColumns count="26">
    <tableColumn id="1" name="Task ID"/>
    <tableColumn id="2" name="Source Issue ID"/>
    <tableColumn id="3" name="Workstream"/>
    <tableColumn id="4" name="Priority"/>
    <tableColumn id="5" name="Release Gate"/>
    <tableColumn id="6" name="Task Type"/>
    <tableColumn id="7" name="Scope / Evidence Class"/>
    <tableColumn id="8" name="Applies to 17234f7"/>
    <tableColumn id="9" name="Added in Reconciliation"/>
    <tableColumn id="10" name="Task Title"/>
    <tableColumn id="11" name="Problem / Rationale"/>
    <tableColumn id="12" name="Required Implementation"/>
    <tableColumn id="13" name="Acceptance Criteria"/>
    <tableColumn id="14" name="Evidence Anchor"/>
    <tableColumn id="15" name="Evidence URL"/>
    <tableColumn id="16" name="Proposed Owner"/>
    <tableColumn id="17" name="Phase / Gate"/>
    <tableColumn id="18" name="Effort"/>
    <tableColumn id="19" name="Dependencies"/>
    <tableColumn id="20" name="Mapped UAT Cases"/>
    <tableColumn id="21" name="Status"/>
    <tableColumn id="22" name="Progress %"/>
    <tableColumn id="23" name="Target Sprint"/>
    <tableColumn id="24" name="Due Date"/>
    <tableColumn id="25" name="Origin"/>
    <tableColumn id="26" name="Notes / Decision"/>
  </tableColumns>
  <tableStyleInfo name="TableStyleMedium2" showFirstColumn="0" showLastColumn="0" showRowStripes="1" showColumnStripes="0"/>
</table>
</file>

<file path=xl/tables/table2.xml><?xml version="1.0" encoding="utf-8"?>
<table xmlns="http://schemas.openxmlformats.org/spreadsheetml/2006/main" id="2" name="NewGapsTable" displayName="NewGapsTable" ref="A4:P48" headerRowCount="1" totalsRowCount="0" totalsRowShown="0">
  <tableColumns count="16">
    <tableColumn id="1" name="ID"/>
    <tableColumn id="2" name="Priority"/>
    <tableColumn id="3" name="Surface"/>
    <tableColumn id="4" name="Classification"/>
    <tableColumn id="5" name="Finding"/>
    <tableColumn id="6" name="Impact"/>
    <tableColumn id="7" name="Required Fix"/>
    <tableColumn id="8" name="Acceptance"/>
    <tableColumn id="9" name="Origin"/>
    <tableColumn id="10" name="Applies"/>
    <tableColumn id="11" name="Task Type"/>
    <tableColumn id="12" name="Release Gate"/>
    <tableColumn id="13" name="Owner"/>
    <tableColumn id="14" name="Phase"/>
    <tableColumn id="15" name="Dependencies"/>
    <tableColumn id="16" name="Mapped UAT"/>
  </tableColumns>
  <tableStyleInfo name="TableStyleMedium2" showFirstColumn="0" showLastColumn="0" showRowStripes="1" showColumnStripes="0"/>
</table>
</file>

<file path=xl/tables/table3.xml><?xml version="1.0" encoding="utf-8"?>
<table xmlns="http://schemas.openxmlformats.org/spreadsheetml/2006/main" id="3" name="UATMatrixTable" displayName="UATMatrixTable" ref="A4:N132" headerRowCount="1" totalsRowCount="0" totalsRowShown="0">
  <tableColumns count="14">
    <tableColumn id="1" name="Case ID"/>
    <tableColumn id="2" name="Area"/>
    <tableColumn id="3" name="Priority"/>
    <tableColumn id="4" name="Requirement Type"/>
    <tableColumn id="5" name="Applies"/>
    <tableColumn id="6" name="Scenario"/>
    <tableColumn id="7" name="Preconditions"/>
    <tableColumn id="8" name="Steps"/>
    <tableColumn id="9" name="Expected Result"/>
    <tableColumn id="10" name="Evidence to Capture"/>
    <tableColumn id="11" name="Automation Candidate"/>
    <tableColumn id="12" name="Owner"/>
    <tableColumn id="13" name="Status"/>
    <tableColumn id="14" name="Notes"/>
  </tableColumns>
  <tableStyleInfo name="TableStyleMedium2" showFirstColumn="0" showLastColumn="0" showRowStripes="1" showColumnStripes="0"/>
</table>
</file>

<file path=xl/tables/table4.xml><?xml version="1.0" encoding="utf-8"?>
<table xmlns="http://schemas.openxmlformats.org/spreadsheetml/2006/main" id="4" name="DeclutterPlanTable" displayName="DeclutterPlanTable" ref="A4:J20" headerRowCount="1" totalsRowCount="0" totalsRowShown="0">
  <tableColumns count="10">
    <tableColumn id="1" name="Surface"/>
    <tableColumn id="2" name="Keep Permanent"/>
    <tableColumn id="3" name="Move Off Surface"/>
    <tableColumn id="4" name="Container"/>
    <tableColumn id="5" name="Trigger"/>
    <tableColumn id="6" name="Dismiss / Return Focus"/>
    <tableColumn id="7" name="Responsive Adaptation"/>
    <tableColumn id="8" name="Priority"/>
    <tableColumn id="9" name="Task IDs"/>
    <tableColumn id="10" name="Acceptance"/>
  </tableColumns>
  <tableStyleInfo name="TableStyleMedium2" showFirstColumn="0" showLastColumn="0" showRowStripes="1" showColumnStripes="0"/>
</table>
</file>

<file path=xl/tables/table5.xml><?xml version="1.0" encoding="utf-8"?>
<table xmlns="http://schemas.openxmlformats.org/spreadsheetml/2006/main" id="5" name="ScopeDecisionsTable" displayName="ScopeDecisionsTable" ref="A4:I12" headerRowCount="1" totalsRowCount="0" totalsRowShown="0">
  <tableColumns count="9">
    <tableColumn id="1" name="Decision ID"/>
    <tableColumn id="2" name="Question"/>
    <tableColumn id="3" name="Current Evidence"/>
    <tableColumn id="4" name="Recommendation"/>
    <tableColumn id="5" name="Must Decide Before"/>
    <tableColumn id="6" name="Owner"/>
    <tableColumn id="7" name="Status"/>
    <tableColumn id="8" name="Linked Tasks"/>
    <tableColumn id="9" name="Notes"/>
  </tableColumns>
  <tableStyleInfo name="TableStyleMedium2" showFirstColumn="0" showLastColumn="0" showRowStripes="1" showColumnStripes="0"/>
</table>
</file>

<file path=xl/tables/table6.xml><?xml version="1.0" encoding="utf-8"?>
<table xmlns="http://schemas.openxmlformats.org/spreadsheetml/2006/main" id="6" name="HeuristicReviewTable" displayName="HeuristicReviewTable" ref="A4:L34" headerRowCount="1" totalsRowCount="0" totalsRowShown="0">
  <tableColumns count="12">
    <tableColumn id="1" name="Feature"/>
    <tableColumn id="2" name="Heuristic ID"/>
    <tableColumn id="3" name="Heuristic"/>
    <tableColumn id="4" name="Definition"/>
    <tableColumn id="5" name="Initial Risk"/>
    <tableColumn id="6" name="Score 0–4"/>
    <tableColumn id="7" name="Evidence"/>
    <tableColumn id="8" name="Linked Task IDs"/>
    <tableColumn id="9" name="Reviewer"/>
    <tableColumn id="10" name="Status"/>
    <tableColumn id="11" name="Re-review Date"/>
    <tableColumn id="12"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A1" s="10" t="inlineStr">
        <is>
          <t>Priority</t>
        </is>
      </c>
      <c r="B1" s="10" t="inlineStr">
        <is>
          <t>Release Gate</t>
        </is>
      </c>
      <c r="C1" s="10" t="inlineStr">
        <is>
          <t>Status</t>
        </is>
      </c>
      <c r="D1" s="10" t="inlineStr">
        <is>
          <t>Effort</t>
        </is>
      </c>
      <c r="E1" s="10" t="inlineStr">
        <is>
          <t>Phase</t>
        </is>
      </c>
      <c r="F1" s="10" t="inlineStr">
        <is>
          <t>Applies</t>
        </is>
      </c>
      <c r="G1" s="10" t="inlineStr">
        <is>
          <t>Decision Status</t>
        </is>
      </c>
      <c r="H1" s="10" t="inlineStr">
        <is>
          <t>Heuristic Status</t>
        </is>
      </c>
      <c r="I1" s="10" t="inlineStr">
        <is>
          <t>UAT Status</t>
        </is>
      </c>
      <c r="J1" s="10" t="inlineStr">
        <is>
          <t>Automation</t>
        </is>
      </c>
    </row>
    <row r="2">
      <c r="A2" s="11" t="inlineStr">
        <is>
          <t>P1</t>
        </is>
      </c>
      <c r="B2" s="11" t="inlineStr">
        <is>
          <t>Yes</t>
        </is>
      </c>
      <c r="C2" s="11" t="inlineStr">
        <is>
          <t>Not Started</t>
        </is>
      </c>
      <c r="D2" s="11" t="inlineStr">
        <is>
          <t>S</t>
        </is>
      </c>
      <c r="E2" s="11" t="inlineStr">
        <is>
          <t>G1 — State truth &amp; silent loss</t>
        </is>
      </c>
      <c r="F2" s="11" t="inlineStr">
        <is>
          <t>Yes</t>
        </is>
      </c>
      <c r="G2" s="11" t="inlineStr">
        <is>
          <t>Open</t>
        </is>
      </c>
      <c r="H2" s="11" t="inlineStr">
        <is>
          <t>Not Reviewed</t>
        </is>
      </c>
      <c r="I2" s="11" t="inlineStr">
        <is>
          <t>Not Executed</t>
        </is>
      </c>
      <c r="J2" s="11" t="inlineStr">
        <is>
          <t>Yes</t>
        </is>
      </c>
    </row>
    <row r="3">
      <c r="A3" s="11" t="inlineStr">
        <is>
          <t>P2</t>
        </is>
      </c>
      <c r="B3" s="11" t="inlineStr">
        <is>
          <t>Conditional</t>
        </is>
      </c>
      <c r="C3" s="11" t="inlineStr">
        <is>
          <t>In Progress</t>
        </is>
      </c>
      <c r="D3" s="11" t="inlineStr">
        <is>
          <t>M</t>
        </is>
      </c>
      <c r="E3" s="11" t="inlineStr">
        <is>
          <t>G2 — Playback/import architecture</t>
        </is>
      </c>
      <c r="F3" s="11" t="inlineStr">
        <is>
          <t>Decision</t>
        </is>
      </c>
      <c r="G3" s="11" t="inlineStr">
        <is>
          <t>Decided</t>
        </is>
      </c>
      <c r="H3" s="11" t="inlineStr">
        <is>
          <t>In Review</t>
        </is>
      </c>
      <c r="I3" s="11" t="inlineStr">
        <is>
          <t>Passed</t>
        </is>
      </c>
      <c r="J3" s="11" t="inlineStr">
        <is>
          <t>Partial</t>
        </is>
      </c>
    </row>
    <row r="4">
      <c r="A4" s="11" t="inlineStr">
        <is>
          <t>P3</t>
        </is>
      </c>
      <c r="B4" s="11" t="inlineStr">
        <is>
          <t>No</t>
        </is>
      </c>
      <c r="C4" s="11" t="inlineStr">
        <is>
          <t>Blocked</t>
        </is>
      </c>
      <c r="D4" s="11" t="inlineStr">
        <is>
          <t>L</t>
        </is>
      </c>
      <c r="E4" s="11" t="inlineStr">
        <is>
          <t>G3 — Workflow efficiency &amp; declutter</t>
        </is>
      </c>
      <c r="F4" s="11" t="inlineStr">
        <is>
          <t>Future if approved</t>
        </is>
      </c>
      <c r="G4" s="11" t="inlineStr">
        <is>
          <t>Deferred</t>
        </is>
      </c>
      <c r="H4" s="11" t="inlineStr">
        <is>
          <t>Remediation Open</t>
        </is>
      </c>
      <c r="I4" s="11" t="inlineStr">
        <is>
          <t>Failed</t>
        </is>
      </c>
      <c r="J4" s="11" t="inlineStr">
        <is>
          <t>No</t>
        </is>
      </c>
    </row>
    <row r="5">
      <c r="A5" s="12" t="n"/>
      <c r="B5" s="12" t="n"/>
      <c r="C5" s="11" t="inlineStr">
        <is>
          <t>Ready for QA</t>
        </is>
      </c>
      <c r="D5" s="11" t="inlineStr">
        <is>
          <t>XL</t>
        </is>
      </c>
      <c r="E5" s="11" t="inlineStr">
        <is>
          <t>G4 — Accessibility &amp; release gates</t>
        </is>
      </c>
      <c r="F5" s="11" t="inlineStr">
        <is>
          <t>Design target</t>
        </is>
      </c>
      <c r="G5" s="11" t="inlineStr">
        <is>
          <t>Not Applicable</t>
        </is>
      </c>
      <c r="H5" s="11" t="inlineStr">
        <is>
          <t>Re-review Required</t>
        </is>
      </c>
      <c r="I5" s="11" t="inlineStr">
        <is>
          <t>Blocked</t>
        </is>
      </c>
      <c r="J5" s="12" t="n"/>
    </row>
    <row r="6">
      <c r="A6" s="12" t="n"/>
      <c r="B6" s="12" t="n"/>
      <c r="C6" s="11" t="inlineStr">
        <is>
          <t>Done</t>
        </is>
      </c>
      <c r="D6" s="12" t="n"/>
      <c r="E6" s="11" t="inlineStr">
        <is>
          <t>Future — Product decisions</t>
        </is>
      </c>
      <c r="F6" s="11" t="inlineStr">
        <is>
          <t>Current / decision-dependent</t>
        </is>
      </c>
      <c r="G6" s="12" t="n"/>
      <c r="H6" s="11" t="inlineStr">
        <is>
          <t>Closed</t>
        </is>
      </c>
      <c r="I6" s="11" t="inlineStr">
        <is>
          <t>Not Applicable</t>
        </is>
      </c>
      <c r="J6" s="12" t="n"/>
    </row>
    <row r="7">
      <c r="A7" s="12" t="n"/>
      <c r="B7" s="12" t="n"/>
      <c r="C7" s="11" t="inlineStr">
        <is>
          <t>Deferred</t>
        </is>
      </c>
      <c r="D7" s="12" t="n"/>
      <c r="E7" s="12" t="n"/>
      <c r="F7" s="12" t="n"/>
      <c r="G7" s="12" t="n"/>
      <c r="H7" s="12" t="n"/>
      <c r="I7" s="12" t="n"/>
      <c r="J7" s="12" t="n"/>
    </row>
    <row r="8">
      <c r="A8" s="12" t="n"/>
      <c r="B8" s="12" t="n"/>
      <c r="C8" s="11" t="inlineStr">
        <is>
          <t>Not Applicable</t>
        </is>
      </c>
      <c r="D8" s="12" t="n"/>
      <c r="E8" s="12" t="n"/>
      <c r="F8" s="12" t="n"/>
      <c r="G8" s="12" t="n"/>
      <c r="H8" s="12" t="n"/>
      <c r="I8" s="12" t="n"/>
      <c r="J8" s="12" t="n"/>
    </row>
    <row r="9">
      <c r="A9" s="12" t="n"/>
      <c r="B9" s="12" t="n"/>
      <c r="C9" s="12" t="n"/>
      <c r="D9" s="12" t="n"/>
      <c r="E9" s="12" t="n"/>
      <c r="F9" s="12" t="n"/>
      <c r="G9" s="12" t="n"/>
      <c r="H9" s="12" t="n"/>
      <c r="I9" s="12" t="n"/>
      <c r="J9" s="12" t="n"/>
    </row>
    <row r="10">
      <c r="A10" s="12" t="n"/>
      <c r="B10" s="12" t="n"/>
      <c r="C10" s="12" t="n"/>
      <c r="D10" s="12" t="n"/>
      <c r="E10" s="12" t="n"/>
      <c r="F10" s="12" t="n"/>
      <c r="G10" s="12" t="n"/>
      <c r="H10" s="12" t="n"/>
      <c r="I10" s="12" t="n"/>
      <c r="J10" s="1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122"/>
  <sheetViews>
    <sheetView workbookViewId="0">
      <selection activeCell="A1" sqref="A1"/>
    </sheetView>
  </sheetViews>
  <sheetFormatPr baseColWidth="8" defaultRowHeight="15"/>
  <cols>
    <col width="15" customWidth="1" min="1" max="1"/>
    <col width="15" customWidth="1" min="2" max="2"/>
    <col width="27" customWidth="1" min="3" max="3"/>
    <col width="9" customWidth="1" min="4" max="4"/>
    <col width="12" customWidth="1" min="5" max="5"/>
    <col width="20" customWidth="1" min="6" max="6"/>
    <col width="25" customWidth="1" min="7" max="7"/>
    <col width="16" customWidth="1" min="8" max="8"/>
    <col width="15" customWidth="1" min="9" max="9"/>
    <col width="42" customWidth="1" min="10" max="10"/>
    <col width="48" customWidth="1" min="11" max="11"/>
    <col width="50" customWidth="1" min="12" max="12"/>
    <col width="50" customWidth="1" min="13" max="13"/>
    <col width="38" customWidth="1" min="14" max="14"/>
    <col width="42" customWidth="1" min="15" max="15"/>
    <col width="22" customWidth="1" min="16" max="16"/>
    <col width="26" customWidth="1" min="17" max="17"/>
    <col width="9" customWidth="1" min="18" max="18"/>
    <col width="26" customWidth="1" min="19" max="19"/>
    <col width="30" customWidth="1" min="20" max="20"/>
    <col width="16" customWidth="1" min="21" max="21"/>
    <col width="11" customWidth="1" min="22" max="22"/>
    <col width="14" customWidth="1" min="23" max="23"/>
    <col width="13" customWidth="1" min="24" max="24"/>
    <col width="28" customWidth="1" min="25" max="25"/>
    <col width="36" customWidth="1" min="26" max="26"/>
  </cols>
  <sheetData>
    <row r="1" ht="30" customHeight="1">
      <c r="A1" s="23" t="inlineStr">
        <is>
          <t>Premiere316 — Complete UI/UX QA Task List</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8" customHeight="1">
      <c r="A2" s="31" t="inlineStr">
        <is>
          <t>118 reconciled tasks: the original 74 source-audit findings plus 44 missing defects, requirements, decluttering tasks, and scope decisions. Edit Status, Progress, Owner, Sprint, Due Date, and Notes directly.</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4" ht="34" customHeight="1">
      <c r="A4" s="35" t="inlineStr">
        <is>
          <t>Task ID</t>
        </is>
      </c>
      <c r="B4" s="35" t="inlineStr">
        <is>
          <t>Source Issue ID</t>
        </is>
      </c>
      <c r="C4" s="35" t="inlineStr">
        <is>
          <t>Workstream</t>
        </is>
      </c>
      <c r="D4" s="35" t="inlineStr">
        <is>
          <t>Priority</t>
        </is>
      </c>
      <c r="E4" s="35" t="inlineStr">
        <is>
          <t>Release Gate</t>
        </is>
      </c>
      <c r="F4" s="35" t="inlineStr">
        <is>
          <t>Task Type</t>
        </is>
      </c>
      <c r="G4" s="35" t="inlineStr">
        <is>
          <t>Scope / Evidence Class</t>
        </is>
      </c>
      <c r="H4" s="35" t="inlineStr">
        <is>
          <t>Applies to 17234f7</t>
        </is>
      </c>
      <c r="I4" s="35" t="inlineStr">
        <is>
          <t>Added in Reconciliation</t>
        </is>
      </c>
      <c r="J4" s="35" t="inlineStr">
        <is>
          <t>Task Title</t>
        </is>
      </c>
      <c r="K4" s="35" t="inlineStr">
        <is>
          <t>Problem / Rationale</t>
        </is>
      </c>
      <c r="L4" s="35" t="inlineStr">
        <is>
          <t>Required Implementation</t>
        </is>
      </c>
      <c r="M4" s="35" t="inlineStr">
        <is>
          <t>Acceptance Criteria</t>
        </is>
      </c>
      <c r="N4" s="35" t="inlineStr">
        <is>
          <t>Evidence Anchor</t>
        </is>
      </c>
      <c r="O4" s="35" t="inlineStr">
        <is>
          <t>Evidence URL</t>
        </is>
      </c>
      <c r="P4" s="35" t="inlineStr">
        <is>
          <t>Proposed Owner</t>
        </is>
      </c>
      <c r="Q4" s="35" t="inlineStr">
        <is>
          <t>Phase / Gate</t>
        </is>
      </c>
      <c r="R4" s="35" t="inlineStr">
        <is>
          <t>Effort</t>
        </is>
      </c>
      <c r="S4" s="35" t="inlineStr">
        <is>
          <t>Dependencies</t>
        </is>
      </c>
      <c r="T4" s="35" t="inlineStr">
        <is>
          <t>Mapped UAT Cases</t>
        </is>
      </c>
      <c r="U4" s="35" t="inlineStr">
        <is>
          <t>Status</t>
        </is>
      </c>
      <c r="V4" s="35" t="inlineStr">
        <is>
          <t>Progress %</t>
        </is>
      </c>
      <c r="W4" s="35" t="inlineStr">
        <is>
          <t>Target Sprint</t>
        </is>
      </c>
      <c r="X4" s="35" t="inlineStr">
        <is>
          <t>Due Date</t>
        </is>
      </c>
      <c r="Y4" s="35" t="inlineStr">
        <is>
          <t>Origin</t>
        </is>
      </c>
      <c r="Z4" s="35" t="inlineStr">
        <is>
          <t>Notes / Decision</t>
        </is>
      </c>
    </row>
    <row r="5" ht="62" customHeight="1">
      <c r="A5" s="42" t="inlineStr">
        <is>
          <t>COMFY-001</t>
        </is>
      </c>
      <c r="B5" s="42" t="inlineStr">
        <is>
          <t>COMFY-001</t>
        </is>
      </c>
      <c r="C5" s="42" t="inlineStr">
        <is>
          <t>Comfy Picker</t>
        </is>
      </c>
      <c r="D5" s="48" t="inlineStr">
        <is>
          <t>P1</t>
        </is>
      </c>
      <c r="E5" s="48" t="inlineStr">
        <is>
          <t>Yes</t>
        </is>
      </c>
      <c r="F5" s="48" t="inlineStr">
        <is>
          <t>Comfy Integration</t>
        </is>
      </c>
      <c r="G5" s="48" t="inlineStr">
        <is>
          <t>Confirmed state-truth defect</t>
        </is>
      </c>
      <c r="H5" s="48" t="inlineStr">
        <is>
          <t>Yes</t>
        </is>
      </c>
      <c r="I5" s="48" t="inlineStr">
        <is>
          <t>No</t>
        </is>
      </c>
      <c r="J5" s="42" t="inlineStr">
        <is>
          <t>Separate selected, loading, and loadedWorkflow IDs</t>
        </is>
      </c>
      <c r="K5" s="42" t="inlineStr">
        <is>
          <t>The picker can display a selected workflow before that graph has been loaded into the iframe, and success is announced without a bridge acknowledgement that the graph actually loaded. The label and canvas can disagree. A user can edit or queue the wrong graph while believing the selected workflow is active.</t>
        </is>
      </c>
      <c r="L5" s="42" t="inlineStr">
        <is>
          <t>Separate selected, loading, and loadedWorkflow IDs. Auto-load deliberately or show 'not loaded'. Require an explicit iframe bridge ACK containing workflow ID/hash before success.</t>
        </is>
      </c>
      <c r="M5" s="42" t="inlineStr">
        <is>
          <t>The toolbar never claims workflow X is loaded unless the iframe returns an ACK for X; initial state is unambiguous.</t>
        </is>
      </c>
      <c r="N5" s="42" t="inlineStr">
        <is>
          <t>client/src/components/ComfyUIWorkspace.tsx — initial picker state, loadWorkflow/injectGraph, URL fallback and success notice</t>
        </is>
      </c>
      <c r="O5" s="42" t="inlineStr">
        <is>
          <t>https://github.com/tj1784/Premiere316_AI_Director_Prototype_v2.0.0/blob/17234f7bcc9687d12afa23fbb88c6eff5be7e2a9/client/src/components/ComfyUIWorkspace.tsx</t>
        </is>
      </c>
      <c r="P5" s="42" t="inlineStr">
        <is>
          <t>Comfy Integration + Frontend</t>
        </is>
      </c>
      <c r="Q5" s="42" t="inlineStr">
        <is>
          <t>G1 — State truth &amp; silent loss</t>
        </is>
      </c>
      <c r="R5" s="48" t="inlineStr">
        <is>
          <t>L</t>
        </is>
      </c>
      <c r="S5" s="42" t="str"/>
      <c r="T5" s="42" t="inlineStr">
        <is>
          <t>UAT-COMFY-001,UAT-COMFY-002</t>
        </is>
      </c>
      <c r="U5" s="48" t="inlineStr">
        <is>
          <t>Done</t>
        </is>
      </c>
      <c r="V5" s="48" t="n">
        <v>100</v>
      </c>
      <c r="W5" s="42" t="str"/>
      <c r="X5" s="110" t="n"/>
      <c r="Y5" s="42" t="inlineStr">
        <is>
          <t>Existing 74-item source audit</t>
        </is>
      </c>
      <c r="Z5" s="42" t="inlineStr">
        <is>
          <t>Implemented 2026-08-22: selected/loading/loaded keys; ACK required</t>
        </is>
      </c>
    </row>
    <row r="6" ht="62" customHeight="1">
      <c r="A6" s="42" t="inlineStr">
        <is>
          <t>COMFY-002</t>
        </is>
      </c>
      <c r="B6" s="42" t="inlineStr">
        <is>
          <t>COMFY-002</t>
        </is>
      </c>
      <c r="C6" s="42" t="inlineStr">
        <is>
          <t>Comfy Picker</t>
        </is>
      </c>
      <c r="D6" s="48" t="inlineStr">
        <is>
          <t>P1</t>
        </is>
      </c>
      <c r="E6" s="48" t="inlineStr">
        <is>
          <t>Yes</t>
        </is>
      </c>
      <c r="F6" s="48" t="inlineStr">
        <is>
          <t>Comfy Integration</t>
        </is>
      </c>
      <c r="G6" s="48" t="inlineStr">
        <is>
          <t>Confirmed missing concurrency/dirty-state control</t>
        </is>
      </c>
      <c r="H6" s="48" t="inlineStr">
        <is>
          <t>Yes</t>
        </is>
      </c>
      <c r="I6" s="48" t="inlineStr">
        <is>
          <t>No</t>
        </is>
      </c>
      <c r="J6" s="42" t="inlineStr">
        <is>
          <t>Abort or ignore stale loads, serialize bridge application, track canvas dirty state, and require discard/save confirmation</t>
        </is>
      </c>
      <c r="K6" s="42" t="inlineStr">
        <is>
          <t>Rapid workflow changes are not cancellation- or sequence-token-protected, and loading another workflow does not confirm unsaved graph edits. An older request can overwrite a newer selection, and local graph work can be destroyed without warning.</t>
        </is>
      </c>
      <c r="L6" s="42" t="inlineStr">
        <is>
          <t>Abort or ignore stale loads, serialize bridge application, track canvas dirty state, and require discard/save confirmation.</t>
        </is>
      </c>
      <c r="M6" s="42" t="inlineStr">
        <is>
          <t>In a 20-change rapid-selection test, only the final workflow loads. Modified graphs cannot be replaced without an explicit user decision.</t>
        </is>
      </c>
      <c r="N6" s="42" t="inlineStr">
        <is>
          <t>client/src/components/ComfyUIWorkspace.tsx — loadWorkflow request lifecycle and option change handling</t>
        </is>
      </c>
      <c r="O6" s="42" t="inlineStr">
        <is>
          <t>https://github.com/tj1784/Premiere316_AI_Director_Prototype_v2.0.0/blob/17234f7bcc9687d12afa23fbb88c6eff5be7e2a9/client/src/components/ComfyUIWorkspace.tsx</t>
        </is>
      </c>
      <c r="P6" s="42" t="inlineStr">
        <is>
          <t>Comfy Integration + Frontend</t>
        </is>
      </c>
      <c r="Q6" s="42" t="inlineStr">
        <is>
          <t>G1 — State truth &amp; silent loss</t>
        </is>
      </c>
      <c r="R6" s="48" t="inlineStr">
        <is>
          <t>L</t>
        </is>
      </c>
      <c r="S6" s="42" t="str"/>
      <c r="T6" s="42" t="inlineStr">
        <is>
          <t>UAT-COMFY-003,UAT-COMFY-004</t>
        </is>
      </c>
      <c r="U6" s="48" t="inlineStr">
        <is>
          <t>Done</t>
        </is>
      </c>
      <c r="V6" s="48" t="n">
        <v>100</v>
      </c>
      <c r="W6" s="42" t="str"/>
      <c r="X6" s="110" t="n"/>
      <c r="Y6" s="42" t="inlineStr">
        <is>
          <t>Existing 74-item source audit</t>
        </is>
      </c>
      <c r="Z6" s="42" t="inlineStr">
        <is>
          <t>Implemented 2026-08-22: Request tokens + confirm before replacing loaded graph</t>
        </is>
      </c>
    </row>
    <row r="7" ht="62" customHeight="1">
      <c r="A7" s="42" t="inlineStr">
        <is>
          <t>COMFY-003</t>
        </is>
      </c>
      <c r="B7" s="42" t="inlineStr">
        <is>
          <t>COMFY-003</t>
        </is>
      </c>
      <c r="C7" s="42" t="inlineStr">
        <is>
          <t>Comfy Picker / Packaging</t>
        </is>
      </c>
      <c r="D7" s="48" t="inlineStr">
        <is>
          <t>P1</t>
        </is>
      </c>
      <c r="E7" s="48" t="inlineStr">
        <is>
          <t>Yes</t>
        </is>
      </c>
      <c r="F7" s="48" t="inlineStr">
        <is>
          <t>Comfy Integration</t>
        </is>
      </c>
      <c r="G7" s="48" t="inlineStr">
        <is>
          <t>Confirmed reproducibility defect</t>
        </is>
      </c>
      <c r="H7" s="48" t="inlineStr">
        <is>
          <t>Yes</t>
        </is>
      </c>
      <c r="I7" s="48" t="inlineStr">
        <is>
          <t>No</t>
        </is>
      </c>
      <c r="J7" s="42" t="inlineStr">
        <is>
          <t>Package supported workflow JSON in a tracked product directory with a manifest/version/hash, or provide a deterministic installer/import step and a first-run missing-library state</t>
        </is>
      </c>
      <c r="K7" s="42" t="inlineStr">
        <is>
          <t>The server scans BlokeyUI/ComfyUI/user/default/workflows, but BlokeyUI explicitly ignores **/user/default/workflows/ and those local workflow files were not committed. 17234f7 alone cannot reproduce the developer's picker inventory. Clean machines can show a partial/empty library or resolve different graphs.</t>
        </is>
      </c>
      <c r="L7" s="42" t="inlineStr">
        <is>
          <t>Package supported workflow JSON in a tracked product directory with a manifest/version/hash, or provide a deterministic installer/import step and a first-run missing-library state.</t>
        </is>
      </c>
      <c r="M7" s="42" t="inlineStr">
        <is>
          <t>A clean recursive clone produces the same supported picker inventory and graph hashes as the release machine, or clearly blocks with actionable setup.</t>
        </is>
      </c>
      <c r="N7" s="42" t="inlineStr">
        <is>
          <t>server/aaa-workflow.js — WORKFLOW_ROOT; root .gitmodules; BlokeyUI .gitignore; pinned BlokeyUI tree</t>
        </is>
      </c>
      <c r="O7" s="42" t="inlineStr">
        <is>
          <t>https://github.com/tj1784/Premiere316_AI_Director_Prototype_v2.0.0/blob/17234f7bcc9687d12afa23fbb88c6eff5be7e2a9/server/aaa-workflow.js
https://github.com/tj1784/Premiere316_AI_Director_Prototype_v2.0.0/blob/17234f7bcc9687d12afa23fbb88c6eff5be7e2a9/.gitmodules
https://github.com/tj1784/BlokeyUI/blob/ec80ff135127e324c804d2c60036e8672b3272b4/.gitignore</t>
        </is>
      </c>
      <c r="P7" s="42" t="inlineStr">
        <is>
          <t>Comfy Integration + Frontend</t>
        </is>
      </c>
      <c r="Q7" s="42" t="inlineStr">
        <is>
          <t>G1 — State truth &amp; silent loss</t>
        </is>
      </c>
      <c r="R7" s="48" t="inlineStr">
        <is>
          <t>L</t>
        </is>
      </c>
      <c r="S7" s="42" t="str"/>
      <c r="T7" s="42" t="inlineStr">
        <is>
          <t>UAT-COMFY-005,UAT-COMFY-006,UAT-REG-005</t>
        </is>
      </c>
      <c r="U7" s="48" t="inlineStr">
        <is>
          <t>Done</t>
        </is>
      </c>
      <c r="V7" s="48" t="n">
        <v>100</v>
      </c>
      <c r="W7" s="42" t="str"/>
      <c r="X7" s="110" t="n"/>
      <c r="Y7" s="42" t="inlineStr">
        <is>
          <t>Existing 74-item source audit</t>
        </is>
      </c>
      <c r="Z7" s="42" t="inlineStr">
        <is>
          <t>Implemented 2026-08-22: workflows/manifest.json packaged inventory + missing-library state</t>
        </is>
      </c>
    </row>
    <row r="8" ht="62" customHeight="1">
      <c r="A8" s="42" t="inlineStr">
        <is>
          <t>IMP-001</t>
        </is>
      </c>
      <c r="B8" s="42" t="inlineStr">
        <is>
          <t>IMP-001</t>
        </is>
      </c>
      <c r="C8" s="42" t="inlineStr">
        <is>
          <t>Sequence / Folder Drop</t>
        </is>
      </c>
      <c r="D8" s="48" t="inlineStr">
        <is>
          <t>P1</t>
        </is>
      </c>
      <c r="E8" s="48" t="inlineStr">
        <is>
          <t>Yes</t>
        </is>
      </c>
      <c r="F8" s="48" t="inlineStr">
        <is>
          <t>Import / Reliability</t>
        </is>
      </c>
      <c r="G8" s="48" t="inlineStr">
        <is>
          <t>Confirmed code defect</t>
        </is>
      </c>
      <c r="H8" s="48" t="inlineStr">
        <is>
          <t>Yes</t>
        </is>
      </c>
      <c r="I8" s="48" t="inlineStr">
        <is>
          <t>No</t>
        </is>
      </c>
      <c r="J8" s="42" t="inlineStr">
        <is>
          <t>Return a structured result for every file: imported, duplicate, unsupported, oversized, failed</t>
        </is>
      </c>
      <c r="K8" s="42" t="inlineStr">
        <is>
          <t>Per-file import failures are swallowed, and completion messaging reports only the imported count without a failed/rejected count, reason list, or retry. Users can believe a folder was handled successfully while assets are missing. This is especially dangerous in large production drops.</t>
        </is>
      </c>
      <c r="L8" s="42" t="inlineStr">
        <is>
          <t>Return a structured result for every file: imported, duplicate, unsupported, oversized, failed. Present a persistent summary and retryable failure list.</t>
        </is>
      </c>
      <c r="M8" s="42" t="inlineStr">
        <is>
          <t>A mixed 20-file drop reports scanned/imported/skipped/failed totals that add up exactly to 20, with reason and retry for each failure.</t>
        </is>
      </c>
      <c r="N8" s="42" t="inlineStr">
        <is>
          <t>client/src/components/SequenceEditorWorkspace.tsx — importDroppedMedia per-file empty catch and summary notice</t>
        </is>
      </c>
      <c r="O8" s="42" t="inlineStr">
        <is>
          <t>https://github.com/tj1784/Premiere316_AI_Director_Prototype_v2.0.0/blob/17234f7bcc9687d12afa23fbb88c6eff5be7e2a9/client/src/components/SequenceEditorWorkspace.tsx</t>
        </is>
      </c>
      <c r="P8" s="42" t="inlineStr">
        <is>
          <t>Full Stack</t>
        </is>
      </c>
      <c r="Q8" s="42" t="inlineStr">
        <is>
          <t>G1 — State truth &amp; silent loss</t>
        </is>
      </c>
      <c r="R8" s="48" t="inlineStr">
        <is>
          <t>L</t>
        </is>
      </c>
      <c r="S8" s="42" t="str"/>
      <c r="T8" s="42" t="inlineStr">
        <is>
          <t>UAT-DROP-001,UAT-DROP-002,UAT-DROP-014</t>
        </is>
      </c>
      <c r="U8" s="48" t="inlineStr">
        <is>
          <t>Done</t>
        </is>
      </c>
      <c r="V8" s="48" t="n">
        <v>100</v>
      </c>
      <c r="W8" s="42" t="str"/>
      <c r="X8" s="110" t="n"/>
      <c r="Y8" s="42" t="inlineStr">
        <is>
          <t>Existing 74-item source audit</t>
        </is>
      </c>
      <c r="Z8" s="42" t="inlineStr">
        <is>
          <t>Implemented 2026-08-22: Structured per-file results + report + retry</t>
        </is>
      </c>
    </row>
    <row r="9" ht="62" customHeight="1">
      <c r="A9" s="42" t="inlineStr">
        <is>
          <t>IMP-002</t>
        </is>
      </c>
      <c r="B9" s="42" t="inlineStr">
        <is>
          <t>IMP-002</t>
        </is>
      </c>
      <c r="C9" s="42" t="inlineStr">
        <is>
          <t>Sequence / Folder Drop</t>
        </is>
      </c>
      <c r="D9" s="48" t="inlineStr">
        <is>
          <t>P1</t>
        </is>
      </c>
      <c r="E9" s="48" t="inlineStr">
        <is>
          <t>Yes</t>
        </is>
      </c>
      <c r="F9" s="48" t="inlineStr">
        <is>
          <t>Import / Reliability</t>
        </is>
      </c>
      <c r="G9" s="48" t="inlineStr">
        <is>
          <t>Confirmed cross-layer contract defect</t>
        </is>
      </c>
      <c r="H9" s="48" t="inlineStr">
        <is>
          <t>Yes</t>
        </is>
      </c>
      <c r="I9" s="48" t="inlineStr">
        <is>
          <t>No</t>
        </is>
      </c>
      <c r="J9" s="42" t="inlineStr">
        <is>
          <t>Create one shared media-type contract</t>
        </is>
      </c>
      <c r="K9" s="42" t="inlineStr">
        <is>
          <t>The client accepts image extensions but never categorizes/imports them, and accepts AVI while the server rejects AVI. Images disappear silently and AVI produces a hidden failure. The drop-zone promise is not truthful.</t>
        </is>
      </c>
      <c r="L9" s="42" t="inlineStr">
        <is>
          <t>Create one shared media-type contract. Import images into a defined bin/workflow or reject them visibly. Align AVI support on both layers.</t>
        </is>
      </c>
      <c r="M9" s="42" t="inlineStr">
        <is>
          <t>Every advertised extension has an end-to-end test and a visible deterministic result; no accepted file vanishes silently.</t>
        </is>
      </c>
      <c r="N9" s="42" t="inlineStr">
        <is>
          <t>client/src/components/SequenceEditorWorkspace.tsx — extension allowlist/classification; server/sequence-editor.js — server extension validation</t>
        </is>
      </c>
      <c r="O9" s="42" t="inlineStr">
        <is>
          <t>https://github.com/tj1784/Premiere316_AI_Director_Prototype_v2.0.0/blob/17234f7bcc9687d12afa23fbb88c6eff5be7e2a9/client/src/components/SequenceEditorWorkspace.tsx
https://github.com/tj1784/Premiere316_AI_Director_Prototype_v2.0.0/blob/17234f7bcc9687d12afa23fbb88c6eff5be7e2a9/server/sequence-editor.js</t>
        </is>
      </c>
      <c r="P9" s="42" t="inlineStr">
        <is>
          <t>Full Stack</t>
        </is>
      </c>
      <c r="Q9" s="42" t="inlineStr">
        <is>
          <t>G1 — State truth &amp; silent loss</t>
        </is>
      </c>
      <c r="R9" s="48" t="inlineStr">
        <is>
          <t>L</t>
        </is>
      </c>
      <c r="S9" s="42" t="str"/>
      <c r="T9" s="42" t="inlineStr">
        <is>
          <t>UAT-DROP-004</t>
        </is>
      </c>
      <c r="U9" s="48" t="inlineStr">
        <is>
          <t>Done</t>
        </is>
      </c>
      <c r="V9" s="48" t="n">
        <v>100</v>
      </c>
      <c r="W9" s="42" t="str"/>
      <c r="X9" s="110" t="n"/>
      <c r="Y9" s="42" t="inlineStr">
        <is>
          <t>Existing 74-item source audit</t>
        </is>
      </c>
      <c r="Z9" s="42" t="inlineStr">
        <is>
          <t>Implemented 2026-08-22: shared/media-types.js; images rejected; AVI on both layers</t>
        </is>
      </c>
    </row>
    <row r="10" ht="62" customHeight="1">
      <c r="A10" s="42" t="inlineStr">
        <is>
          <t>IMP-018</t>
        </is>
      </c>
      <c r="B10" s="42" t="inlineStr">
        <is>
          <t>IMP-018</t>
        </is>
      </c>
      <c r="C10" s="42" t="inlineStr">
        <is>
          <t>Sequence / Folder Drop</t>
        </is>
      </c>
      <c r="D10" s="48" t="inlineStr">
        <is>
          <t>P1</t>
        </is>
      </c>
      <c r="E10" s="48" t="inlineStr">
        <is>
          <t>Yes</t>
        </is>
      </c>
      <c r="F10" s="48" t="inlineStr">
        <is>
          <t>Defect</t>
        </is>
      </c>
      <c r="G10" s="48" t="inlineStr">
        <is>
          <t>Confirmed code defect</t>
        </is>
      </c>
      <c r="H10" s="48" t="inlineStr">
        <is>
          <t>Yes</t>
        </is>
      </c>
      <c r="I10" s="48" t="inlineStr">
        <is>
          <t>Yes</t>
        </is>
      </c>
      <c r="J10" s="42" t="inlineStr">
        <is>
          <t>Wrap traversal and import in one try/catch/finally operation, preserve the busy state from scan start, and return a structured traversal failure summary</t>
        </is>
      </c>
      <c r="K10" s="42" t="inlineStr">
        <is>
          <t>Folder traversal is launched with a promise chain that has no top-level catch or user-facing failure path. A permission/traversal error can become an unhandled rejection and leave the drop operation with no result or recovery.</t>
        </is>
      </c>
      <c r="L10" s="42" t="inlineStr">
        <is>
          <t>Wrap traversal and import in one try/catch/finally operation, preserve the busy state from scan start, and return a structured traversal failure summary.</t>
        </is>
      </c>
      <c r="M10" s="42" t="inlineStr">
        <is>
          <t>A forced directory-reader rejection produces a visible failed import job with exact reason and Retry/Choose folder actions; no unhandled rejection appears.</t>
        </is>
      </c>
      <c r="N10" s="42" t="inlineStr">
        <is>
          <t>client/src/components/SequenceEditorWorkspace.tsx — onFolderDrop/filesFromDataTransfer promise chain</t>
        </is>
      </c>
      <c r="O10" s="42" t="inlineStr">
        <is>
          <t>https://github.com/tj1784/Premiere316_AI_Director_Prototype_v2.0.0/blob/17234f7bcc9687d12afa23fbb88c6eff5be7e2a9/client/src/components/SequenceEditorWorkspace.tsx</t>
        </is>
      </c>
      <c r="P10" s="42" t="inlineStr">
        <is>
          <t>Frontend</t>
        </is>
      </c>
      <c r="Q10" s="42" t="inlineStr">
        <is>
          <t>G1 — State truth &amp; silent loss</t>
        </is>
      </c>
      <c r="R10" s="48" t="inlineStr">
        <is>
          <t>M</t>
        </is>
      </c>
      <c r="S10" s="42" t="inlineStr">
        <is>
          <t>IMP-001</t>
        </is>
      </c>
      <c r="T10" s="42" t="inlineStr">
        <is>
          <t>UAT-DROP-022</t>
        </is>
      </c>
      <c r="U10" s="48" t="inlineStr">
        <is>
          <t>Done</t>
        </is>
      </c>
      <c r="V10" s="48" t="n">
        <v>100</v>
      </c>
      <c r="W10" s="42" t="str"/>
      <c r="X10" s="110" t="n"/>
      <c r="Y10" s="42" t="inlineStr">
        <is>
          <t>Reconciliation source review</t>
        </is>
      </c>
      <c r="Z10" s="42" t="inlineStr">
        <is>
          <t>Implemented 2026-08-22: Scan/import wrapped in try/catch/finally</t>
        </is>
      </c>
    </row>
    <row r="11" ht="62" customHeight="1">
      <c r="A11" s="42" t="inlineStr">
        <is>
          <t>TAKE-001</t>
        </is>
      </c>
      <c r="B11" s="42" t="inlineStr">
        <is>
          <t>TAKE-001</t>
        </is>
      </c>
      <c r="C11" s="42" t="inlineStr">
        <is>
          <t>Sequence / Takes</t>
        </is>
      </c>
      <c r="D11" s="48" t="inlineStr">
        <is>
          <t>P1</t>
        </is>
      </c>
      <c r="E11" s="48" t="inlineStr">
        <is>
          <t>Yes</t>
        </is>
      </c>
      <c r="F11" s="48" t="inlineStr">
        <is>
          <t>Takes / UX</t>
        </is>
      </c>
      <c r="G11" s="48" t="inlineStr">
        <is>
          <t>Confirmed regression against parent commit</t>
        </is>
      </c>
      <c r="H11" s="48" t="inlineStr">
        <is>
          <t>Yes</t>
        </is>
      </c>
      <c r="I11" s="48" t="inlineStr">
        <is>
          <t>No</t>
        </is>
      </c>
      <c r="J11" s="42" t="inlineStr">
        <is>
          <t>Restore Active, Latest/segment, and All; default to Active; add regression tests for item membership and default state</t>
        </is>
      </c>
      <c r="K11" s="42" t="inlineStr">
        <is>
          <t>Latest/segment filtering was removed from the visible controls, its remaining branch is a no-op, and the default filter changed from Active to All. The take bin becomes noisier and the fastest segment-review path disappears in the very commit advertised as improving takes.</t>
        </is>
      </c>
      <c r="L11" s="42" t="inlineStr">
        <is>
          <t>Restore Active, Latest/segment, and All; default to Active; add regression tests for item membership and default state.</t>
        </is>
      </c>
      <c r="M11" s="42" t="inlineStr">
        <is>
          <t>Latest/segment shows only the newest eligible take for the selected segment, Active remains default, and All is an explicit opt-in.</t>
        </is>
      </c>
      <c r="N11" s="42" t="inlineStr">
        <is>
          <t>client/src/components/SequenceEditorWorkspace.tsx at parent 680f18c versus 17234f7 — takeFilter state, visibleMedia filter, rendered filter buttons</t>
        </is>
      </c>
      <c r="O11" s="42" t="inlineStr">
        <is>
          <t>https://github.com/tj1784/Premiere316_AI_Director_Prototype_v2.0.0/blob/17234f7bcc9687d12afa23fbb88c6eff5be7e2a9/client/src/components/SequenceEditorWorkspace.tsx</t>
        </is>
      </c>
      <c r="P11" s="42" t="inlineStr">
        <is>
          <t>Product + Frontend</t>
        </is>
      </c>
      <c r="Q11" s="42" t="inlineStr">
        <is>
          <t>G1 — State truth &amp; silent loss</t>
        </is>
      </c>
      <c r="R11" s="48" t="inlineStr">
        <is>
          <t>L</t>
        </is>
      </c>
      <c r="S11" s="42" t="str"/>
      <c r="T11" s="42" t="inlineStr">
        <is>
          <t>UAT-TAKE-001,UAT-TAKE-002,UAT-TAKE-003,UAT-REG-001</t>
        </is>
      </c>
      <c r="U11" s="48" t="inlineStr">
        <is>
          <t>Done</t>
        </is>
      </c>
      <c r="V11" s="48" t="n">
        <v>100</v>
      </c>
      <c r="W11" s="42" t="str"/>
      <c r="X11" s="110" t="n"/>
      <c r="Y11" s="42" t="inlineStr">
        <is>
          <t>Existing 74-item source audit</t>
        </is>
      </c>
      <c r="Z11" s="42" t="inlineStr">
        <is>
          <t>Implemented 2026-08-22: Restored Active/Latest/All; default Active; unit tests</t>
        </is>
      </c>
    </row>
    <row r="12" ht="62" customHeight="1">
      <c r="A12" s="42" t="inlineStr">
        <is>
          <t>COMFY-004</t>
        </is>
      </c>
      <c r="B12" s="42" t="inlineStr">
        <is>
          <t>COMFY-004</t>
        </is>
      </c>
      <c r="C12" s="42" t="inlineStr">
        <is>
          <t>Comfy Picker</t>
        </is>
      </c>
      <c r="D12" s="48" t="inlineStr">
        <is>
          <t>P2</t>
        </is>
      </c>
      <c r="E12" s="48" t="inlineStr">
        <is>
          <t>Conditional</t>
        </is>
      </c>
      <c r="F12" s="48" t="inlineStr">
        <is>
          <t>Comfy Integration</t>
        </is>
      </c>
      <c r="G12" s="48" t="inlineStr">
        <is>
          <t>Confirmed HTTP handling defect</t>
        </is>
      </c>
      <c r="H12" s="48" t="inlineStr">
        <is>
          <t>Yes</t>
        </is>
      </c>
      <c r="I12" s="48" t="inlineStr">
        <is>
          <t>No</t>
        </is>
      </c>
      <c r="J12" s="42" t="inlineStr">
        <is>
          <t>Validate status and retain per-source error diagnostics</t>
        </is>
      </c>
      <c r="K12" s="42" t="inlineStr">
        <is>
          <t>Workflow-list responses are parsed as JSON without checking response.ok. HTTP errors collapse into confusing loading/empty behavior.</t>
        </is>
      </c>
      <c r="L12" s="42" t="inlineStr">
        <is>
          <t>Validate status and retain per-source error diagnostics.</t>
        </is>
      </c>
      <c r="M12" s="42" t="inlineStr">
        <is>
          <t>404/500/invalid JSON each produce source-specific actionable states.</t>
        </is>
      </c>
      <c r="N12" s="42" t="inlineStr">
        <is>
          <t>ComfyUIWorkspace Promise.all list requests</t>
        </is>
      </c>
      <c r="O12" s="42" t="inlineStr">
        <is>
          <t>https://github.com/tj1784/Premiere316_AI_Director_Prototype_v2.0.0/commit/17234f7bcc9687d12afa23fbb88c6eff5be7e2a9</t>
        </is>
      </c>
      <c r="P12" s="42" t="inlineStr">
        <is>
          <t>Comfy Integration + Frontend</t>
        </is>
      </c>
      <c r="Q12" s="42" t="inlineStr">
        <is>
          <t>G1 — State truth &amp; silent loss</t>
        </is>
      </c>
      <c r="R12" s="48" t="inlineStr">
        <is>
          <t>M</t>
        </is>
      </c>
      <c r="S12" s="42" t="inlineStr">
        <is>
          <t>COMFY-001</t>
        </is>
      </c>
      <c r="T12" s="42" t="inlineStr">
        <is>
          <t>UAT-COMFY-007</t>
        </is>
      </c>
      <c r="U12" s="48" t="inlineStr">
        <is>
          <t>Done</t>
        </is>
      </c>
      <c r="V12" s="48" t="n">
        <v>100</v>
      </c>
      <c r="W12" s="42" t="str"/>
      <c r="X12" s="110" t="n"/>
      <c r="Y12" s="42" t="inlineStr">
        <is>
          <t>Existing 74-item source audit</t>
        </is>
      </c>
      <c r="Z12" s="42" t="inlineStr">
        <is>
          <t>Implemented 2026-08-22: response.ok + per-source errors</t>
        </is>
      </c>
    </row>
    <row r="13" ht="62" customHeight="1">
      <c r="A13" s="42" t="inlineStr">
        <is>
          <t>COMFY-005</t>
        </is>
      </c>
      <c r="B13" s="42" t="inlineStr">
        <is>
          <t>COMFY-005</t>
        </is>
      </c>
      <c r="C13" s="42" t="inlineStr">
        <is>
          <t>Comfy Picker</t>
        </is>
      </c>
      <c r="D13" s="48" t="inlineStr">
        <is>
          <t>P2</t>
        </is>
      </c>
      <c r="E13" s="48" t="inlineStr">
        <is>
          <t>Conditional</t>
        </is>
      </c>
      <c r="F13" s="48" t="inlineStr">
        <is>
          <t>Comfy Integration</t>
        </is>
      </c>
      <c r="G13" s="48" t="inlineStr">
        <is>
          <t>Confirmed state-model weakness</t>
        </is>
      </c>
      <c r="H13" s="48" t="inlineStr">
        <is>
          <t>Yes</t>
        </is>
      </c>
      <c r="I13" s="48" t="inlineStr">
        <is>
          <t>No</t>
        </is>
      </c>
      <c r="J13" s="42" t="inlineStr">
        <is>
          <t>Use an explicit state machine and retry control</t>
        </is>
      </c>
      <c r="K13" s="42" t="inlineStr">
        <is>
          <t>Loading, empty, partial, and error states are not cleanly distinguished; 'Loading workflows…' can persist indefinitely. Users cannot tell whether to wait, repair setup, or retry.</t>
        </is>
      </c>
      <c r="L13" s="42" t="inlineStr">
        <is>
          <t>Use an explicit state machine and retry control.</t>
        </is>
      </c>
      <c r="M13" s="42" t="inlineStr">
        <is>
          <t>Every request terminates in loaded, partial, empty, or error with a next action.</t>
        </is>
      </c>
      <c r="N13" s="42" t="inlineStr">
        <is>
          <t>Comfy workflow-list state/render logic</t>
        </is>
      </c>
      <c r="O13" s="42" t="inlineStr">
        <is>
          <t>https://github.com/tj1784/Premiere316_AI_Director_Prototype_v2.0.0/commit/17234f7bcc9687d12afa23fbb88c6eff5be7e2a9</t>
        </is>
      </c>
      <c r="P13" s="42" t="inlineStr">
        <is>
          <t>Comfy Integration + Frontend</t>
        </is>
      </c>
      <c r="Q13" s="42" t="inlineStr">
        <is>
          <t>G1 — State truth &amp; silent loss</t>
        </is>
      </c>
      <c r="R13" s="48" t="inlineStr">
        <is>
          <t>M</t>
        </is>
      </c>
      <c r="S13" s="42" t="inlineStr">
        <is>
          <t>COMFY-001</t>
        </is>
      </c>
      <c r="T13" s="42" t="inlineStr">
        <is>
          <t>UAT-COMFY-006,UAT-COMFY-007,UAT-COMFY-014,UAT-COMFY-015</t>
        </is>
      </c>
      <c r="U13" s="48" t="inlineStr">
        <is>
          <t>Done</t>
        </is>
      </c>
      <c r="V13" s="48" t="n">
        <v>100</v>
      </c>
      <c r="W13" s="42" t="str"/>
      <c r="X13" s="110" t="n"/>
      <c r="Y13" s="42" t="inlineStr">
        <is>
          <t>Existing 74-item source audit</t>
        </is>
      </c>
      <c r="Z13" s="42" t="inlineStr">
        <is>
          <t>Implemented 2026-08-22: loaded/partial/empty/error list states</t>
        </is>
      </c>
    </row>
    <row r="14" ht="62" customHeight="1">
      <c r="A14" s="42" t="inlineStr">
        <is>
          <t>COMFY-006</t>
        </is>
      </c>
      <c r="B14" s="42" t="inlineStr">
        <is>
          <t>COMFY-006</t>
        </is>
      </c>
      <c r="C14" s="42" t="inlineStr">
        <is>
          <t>Comfy Picker</t>
        </is>
      </c>
      <c r="D14" s="48" t="inlineStr">
        <is>
          <t>P2</t>
        </is>
      </c>
      <c r="E14" s="48" t="inlineStr">
        <is>
          <t>Conditional</t>
        </is>
      </c>
      <c r="F14" s="48" t="inlineStr">
        <is>
          <t>Comfy Integration</t>
        </is>
      </c>
      <c r="G14" s="48" t="inlineStr">
        <is>
          <t>Confirmed UI contract defect</t>
        </is>
      </c>
      <c r="H14" s="48" t="inlineStr">
        <is>
          <t>Yes</t>
        </is>
      </c>
      <c r="I14" s="48" t="inlineStr">
        <is>
          <t>No</t>
        </is>
      </c>
      <c r="J14" s="42" t="inlineStr">
        <is>
          <t>Disable or clearly mark unavailable entries with remediation</t>
        </is>
      </c>
      <c r="K14" s="42" t="inlineStr">
        <is>
          <t>Catalog readiness is captured but options are not disabled when unready. Users can select workflows known not to be runnable.</t>
        </is>
      </c>
      <c r="L14" s="42" t="inlineStr">
        <is>
          <t>Disable or clearly mark unavailable entries with remediation.</t>
        </is>
      </c>
      <c r="M14" s="42" t="inlineStr">
        <is>
          <t>Unavailable workflows cannot produce false load success.</t>
        </is>
      </c>
      <c r="N14" s="42" t="inlineStr">
        <is>
          <t>Comfy option rendering disabled={false}</t>
        </is>
      </c>
      <c r="O14" s="42" t="inlineStr">
        <is>
          <t>https://github.com/tj1784/Premiere316_AI_Director_Prototype_v2.0.0/commit/17234f7bcc9687d12afa23fbb88c6eff5be7e2a9</t>
        </is>
      </c>
      <c r="P14" s="42" t="inlineStr">
        <is>
          <t>Comfy Integration + Frontend</t>
        </is>
      </c>
      <c r="Q14" s="42" t="inlineStr">
        <is>
          <t>G1 — State truth &amp; silent loss</t>
        </is>
      </c>
      <c r="R14" s="48" t="inlineStr">
        <is>
          <t>M</t>
        </is>
      </c>
      <c r="S14" s="42" t="inlineStr">
        <is>
          <t>COMFY-001</t>
        </is>
      </c>
      <c r="T14" s="42" t="inlineStr">
        <is>
          <t>UAT-COMFY-019</t>
        </is>
      </c>
      <c r="U14" s="48" t="inlineStr">
        <is>
          <t>Done</t>
        </is>
      </c>
      <c r="V14" s="48" t="n">
        <v>100</v>
      </c>
      <c r="W14" s="42" t="str"/>
      <c r="X14" s="110" t="n"/>
      <c r="Y14" s="42" t="inlineStr">
        <is>
          <t>Existing 74-item source audit</t>
        </is>
      </c>
      <c r="Z14" s="42" t="inlineStr">
        <is>
          <t>Implemented 2026-08-22: Unready catalog options disabled</t>
        </is>
      </c>
    </row>
    <row r="15" ht="62" customHeight="1">
      <c r="A15" s="42" t="inlineStr">
        <is>
          <t>COMFY-008</t>
        </is>
      </c>
      <c r="B15" s="42" t="inlineStr">
        <is>
          <t>COMFY-008</t>
        </is>
      </c>
      <c r="C15" s="42" t="inlineStr">
        <is>
          <t>Comfy Picker</t>
        </is>
      </c>
      <c r="D15" s="48" t="inlineStr">
        <is>
          <t>P2</t>
        </is>
      </c>
      <c r="E15" s="48" t="inlineStr">
        <is>
          <t>Conditional</t>
        </is>
      </c>
      <c r="F15" s="48" t="inlineStr">
        <is>
          <t>Comfy Integration</t>
        </is>
      </c>
      <c r="G15" s="48" t="inlineStr">
        <is>
          <t>Confirmed provenance ambiguity</t>
        </is>
      </c>
      <c r="H15" s="48" t="inlineStr">
        <is>
          <t>Yes</t>
        </is>
      </c>
      <c r="I15" s="48" t="inlineStr">
        <is>
          <t>No</t>
        </is>
      </c>
      <c r="J15" s="42" t="inlineStr">
        <is>
          <t>Normalize IDs, show source/version/hash, and define deterministic precedence</t>
        </is>
      </c>
      <c r="K15" s="42" t="inlineStr">
        <is>
          <t>Catalog, local-library, and packaged variants can represent the same logical workflow without clear de-duplication or source identity. Users can load a different graph than expected and cannot explain machine-to-machine differences.</t>
        </is>
      </c>
      <c r="L15" s="42" t="inlineStr">
        <is>
          <t>Normalize IDs, show source/version/hash, and define deterministic precedence.</t>
        </is>
      </c>
      <c r="M15" s="42" t="inlineStr">
        <is>
          <t>Every option maps to one visible immutable graph identity.</t>
        </is>
      </c>
      <c r="N15" s="42" t="inlineStr">
        <is>
          <t>Workflow list merge and option labeling</t>
        </is>
      </c>
      <c r="O15" s="42" t="inlineStr">
        <is>
          <t>https://github.com/tj1784/Premiere316_AI_Director_Prototype_v2.0.0/commit/17234f7bcc9687d12afa23fbb88c6eff5be7e2a9</t>
        </is>
      </c>
      <c r="P15" s="42" t="inlineStr">
        <is>
          <t>Comfy Integration + Frontend</t>
        </is>
      </c>
      <c r="Q15" s="42" t="inlineStr">
        <is>
          <t>G1 — State truth &amp; silent loss</t>
        </is>
      </c>
      <c r="R15" s="48" t="inlineStr">
        <is>
          <t>M</t>
        </is>
      </c>
      <c r="S15" s="42" t="inlineStr">
        <is>
          <t>COMFY-001,COMFY-003</t>
        </is>
      </c>
      <c r="T15" s="42" t="inlineStr">
        <is>
          <t>UAT-COMFY-020</t>
        </is>
      </c>
      <c r="U15" s="48" t="inlineStr">
        <is>
          <t>Not Started</t>
        </is>
      </c>
      <c r="V15" s="48" t="n">
        <v>0</v>
      </c>
      <c r="W15" s="42" t="str"/>
      <c r="X15" s="110" t="n"/>
      <c r="Y15" s="42" t="inlineStr">
        <is>
          <t>Existing 74-item source audit</t>
        </is>
      </c>
      <c r="Z15" s="42" t="str"/>
    </row>
    <row r="16" ht="62" customHeight="1">
      <c r="A16" s="42" t="inlineStr">
        <is>
          <t>COMFY-015</t>
        </is>
      </c>
      <c r="B16" s="42" t="inlineStr">
        <is>
          <t>COMFY-015</t>
        </is>
      </c>
      <c r="C16" s="42" t="inlineStr">
        <is>
          <t>Comfy Picker</t>
        </is>
      </c>
      <c r="D16" s="48" t="inlineStr">
        <is>
          <t>P2</t>
        </is>
      </c>
      <c r="E16" s="48" t="inlineStr">
        <is>
          <t>Conditional</t>
        </is>
      </c>
      <c r="F16" s="48" t="inlineStr">
        <is>
          <t>Comfy Integration</t>
        </is>
      </c>
      <c r="G16" s="48" t="inlineStr">
        <is>
          <t>Interaction gap</t>
        </is>
      </c>
      <c r="H16" s="48" t="inlineStr">
        <is>
          <t>Yes</t>
        </is>
      </c>
      <c r="I16" s="48" t="inlineStr">
        <is>
          <t>No</t>
        </is>
      </c>
      <c r="J16" s="42" t="inlineStr">
        <is>
          <t>Add explicit Reload selected workflow</t>
        </is>
      </c>
      <c r="K16" s="42" t="inlineStr">
        <is>
          <t>Selecting the already-selected workflow may not force a reload, especially when the fallback URL does not change. Users cannot recover a modified/broken canvas from the picker.</t>
        </is>
      </c>
      <c r="L16" s="42" t="inlineStr">
        <is>
          <t>Add explicit Reload selected workflow.</t>
        </is>
      </c>
      <c r="M16" s="42" t="inlineStr">
        <is>
          <t>Reload deterministically restores the selected graph after confirmation.</t>
        </is>
      </c>
      <c r="N16" s="42" t="inlineStr">
        <is>
          <t>Select change and URL fallback behavior</t>
        </is>
      </c>
      <c r="O16" s="42" t="inlineStr">
        <is>
          <t>https://github.com/tj1784/Premiere316_AI_Director_Prototype_v2.0.0/commit/17234f7bcc9687d12afa23fbb88c6eff5be7e2a9</t>
        </is>
      </c>
      <c r="P16" s="42" t="inlineStr">
        <is>
          <t>Comfy Integration + Frontend</t>
        </is>
      </c>
      <c r="Q16" s="42" t="inlineStr">
        <is>
          <t>G1 — State truth &amp; silent loss</t>
        </is>
      </c>
      <c r="R16" s="48" t="inlineStr">
        <is>
          <t>M</t>
        </is>
      </c>
      <c r="S16" s="42" t="inlineStr">
        <is>
          <t>COMFY-001</t>
        </is>
      </c>
      <c r="T16" s="42" t="inlineStr">
        <is>
          <t>UAT-COMFY-017,UAT-COMFY-021</t>
        </is>
      </c>
      <c r="U16" s="48" t="inlineStr">
        <is>
          <t>Done</t>
        </is>
      </c>
      <c r="V16" s="48" t="n">
        <v>100</v>
      </c>
      <c r="W16" s="42" t="str"/>
      <c r="X16" s="110" t="n"/>
      <c r="Y16" s="42" t="inlineStr">
        <is>
          <t>Existing 74-item source audit</t>
        </is>
      </c>
      <c r="Z16" s="42" t="inlineStr">
        <is>
          <t>Implemented 2026-08-22: Reload selected workflow</t>
        </is>
      </c>
    </row>
    <row r="17" ht="62" customHeight="1">
      <c r="A17" s="42" t="inlineStr">
        <is>
          <t>COMFY-016</t>
        </is>
      </c>
      <c r="B17" s="42" t="inlineStr">
        <is>
          <t>COMFY-016</t>
        </is>
      </c>
      <c r="C17" s="42" t="inlineStr">
        <is>
          <t>Comfy Picker</t>
        </is>
      </c>
      <c r="D17" s="48" t="inlineStr">
        <is>
          <t>P2</t>
        </is>
      </c>
      <c r="E17" s="48" t="inlineStr">
        <is>
          <t>Conditional</t>
        </is>
      </c>
      <c r="F17" s="48" t="inlineStr">
        <is>
          <t>Comfy Integration</t>
        </is>
      </c>
      <c r="G17" s="48" t="inlineStr">
        <is>
          <t>Context/default mismatch</t>
        </is>
      </c>
      <c r="H17" s="48" t="inlineStr">
        <is>
          <t>Yes</t>
        </is>
      </c>
      <c r="I17" s="48" t="inlineStr">
        <is>
          <t>No</t>
        </is>
      </c>
      <c r="J17" s="42" t="inlineStr">
        <is>
          <t>Show recommended default and prompt to switch when context changes</t>
        </is>
      </c>
      <c r="K17" s="42" t="inlineStr">
        <is>
          <t>Changing asset context can preserve any currently valid workflow rather than switching or clearly offering the asset default. A workflow suitable for the prior asset can remain active for the new one.</t>
        </is>
      </c>
      <c r="L17" s="42" t="inlineStr">
        <is>
          <t>Show recommended default and prompt to switch when context changes.</t>
        </is>
      </c>
      <c r="M17" s="42" t="inlineStr">
        <is>
          <t>Context changes cannot silently leave an incompatible workflow presented as appropriate.</t>
        </is>
      </c>
      <c r="N17" s="42" t="inlineStr">
        <is>
          <t>Asset/default selection effect logic</t>
        </is>
      </c>
      <c r="O17" s="42" t="inlineStr">
        <is>
          <t>https://github.com/tj1784/Premiere316_AI_Director_Prototype_v2.0.0/commit/17234f7bcc9687d12afa23fbb88c6eff5be7e2a9</t>
        </is>
      </c>
      <c r="P17" s="42" t="inlineStr">
        <is>
          <t>Comfy Integration + Frontend</t>
        </is>
      </c>
      <c r="Q17" s="42" t="inlineStr">
        <is>
          <t>G1 — State truth &amp; silent loss</t>
        </is>
      </c>
      <c r="R17" s="48" t="inlineStr">
        <is>
          <t>M</t>
        </is>
      </c>
      <c r="S17" s="42" t="inlineStr">
        <is>
          <t>COMFY-001</t>
        </is>
      </c>
      <c r="T17" s="42" t="inlineStr">
        <is>
          <t>UAT-COMFY-018</t>
        </is>
      </c>
      <c r="U17" s="48" t="inlineStr">
        <is>
          <t>Not Started</t>
        </is>
      </c>
      <c r="V17" s="48" t="n">
        <v>0</v>
      </c>
      <c r="W17" s="42" t="str"/>
      <c r="X17" s="110" t="n"/>
      <c r="Y17" s="42" t="inlineStr">
        <is>
          <t>Existing 74-item source audit</t>
        </is>
      </c>
      <c r="Z17" s="42" t="str"/>
    </row>
    <row r="18" ht="62" customHeight="1">
      <c r="A18" s="42" t="inlineStr">
        <is>
          <t>COMFY-011</t>
        </is>
      </c>
      <c r="B18" s="42" t="inlineStr">
        <is>
          <t>COMFY-011</t>
        </is>
      </c>
      <c r="C18" s="42" t="inlineStr">
        <is>
          <t>Comfy Picker / Iframe</t>
        </is>
      </c>
      <c r="D18" s="48" t="inlineStr">
        <is>
          <t>P2</t>
        </is>
      </c>
      <c r="E18" s="48" t="inlineStr">
        <is>
          <t>Conditional</t>
        </is>
      </c>
      <c r="F18" s="48" t="inlineStr">
        <is>
          <t>Comfy Integration</t>
        </is>
      </c>
      <c r="G18" s="48" t="inlineStr">
        <is>
          <t>Confirmed exception-boundary defect</t>
        </is>
      </c>
      <c r="H18" s="48" t="inlineStr">
        <is>
          <t>Yes</t>
        </is>
      </c>
      <c r="I18" s="48" t="inlineStr">
        <is>
          <t>No</t>
        </is>
      </c>
      <c r="J18" s="42" t="inlineStr">
        <is>
          <t>Move all iframe access inside guarded bridge code and treat cross-origin as a first-class state</t>
        </is>
      </c>
      <c r="K18" s="42" t="inlineStr">
        <is>
          <t>Some contentWindow/contentDocument accesses occur before the protecting try/catch. Cross-origin or browser-security errors can escape and prevent fallback/error handling.</t>
        </is>
      </c>
      <c r="L18" s="42" t="inlineStr">
        <is>
          <t>Move all iframe access inside guarded bridge code and treat cross-origin as a first-class state.</t>
        </is>
      </c>
      <c r="M18" s="42" t="inlineStr">
        <is>
          <t>A deliberately cross-origin iframe yields a controlled error, not an unhandled exception.</t>
        </is>
      </c>
      <c r="N18" s="42" t="inlineStr">
        <is>
          <t>ComfyUIWorkspace injectGraph and queueVisibleWorkflow</t>
        </is>
      </c>
      <c r="O18" s="42" t="inlineStr">
        <is>
          <t>https://github.com/tj1784/Premiere316_AI_Director_Prototype_v2.0.0/commit/17234f7bcc9687d12afa23fbb88c6eff5be7e2a9</t>
        </is>
      </c>
      <c r="P18" s="42" t="inlineStr">
        <is>
          <t>Comfy Integration + Frontend</t>
        </is>
      </c>
      <c r="Q18" s="42" t="inlineStr">
        <is>
          <t>G1 — State truth &amp; silent loss</t>
        </is>
      </c>
      <c r="R18" s="48" t="inlineStr">
        <is>
          <t>M</t>
        </is>
      </c>
      <c r="S18" s="42" t="inlineStr">
        <is>
          <t>COMFY-001</t>
        </is>
      </c>
      <c r="T18" s="42" t="inlineStr">
        <is>
          <t>UAT-COMFY-011</t>
        </is>
      </c>
      <c r="U18" s="48" t="inlineStr">
        <is>
          <t>Done</t>
        </is>
      </c>
      <c r="V18" s="48" t="n">
        <v>100</v>
      </c>
      <c r="W18" s="42" t="str"/>
      <c r="X18" s="110" t="n"/>
      <c r="Y18" s="42" t="inlineStr">
        <is>
          <t>Existing 74-item source audit</t>
        </is>
      </c>
      <c r="Z18" s="42" t="inlineStr">
        <is>
          <t>Implemented 2026-08-22: All iframe access guarded</t>
        </is>
      </c>
    </row>
    <row r="19" ht="62" customHeight="1">
      <c r="A19" s="42" t="inlineStr">
        <is>
          <t>COMFY-013</t>
        </is>
      </c>
      <c r="B19" s="42" t="inlineStr">
        <is>
          <t>COMFY-013</t>
        </is>
      </c>
      <c r="C19" s="42" t="inlineStr">
        <is>
          <t>Comfy Picker / Iframe</t>
        </is>
      </c>
      <c r="D19" s="48" t="inlineStr">
        <is>
          <t>P2</t>
        </is>
      </c>
      <c r="E19" s="48" t="inlineStr">
        <is>
          <t>Conditional</t>
        </is>
      </c>
      <c r="F19" s="48" t="inlineStr">
        <is>
          <t>Comfy Integration</t>
        </is>
      </c>
      <c r="G19" s="48" t="inlineStr">
        <is>
          <t>Confirmed stale-state risk</t>
        </is>
      </c>
      <c r="H19" s="48" t="inlineStr">
        <is>
          <t>Yes</t>
        </is>
      </c>
      <c r="I19" s="48" t="inlineStr">
        <is>
          <t>No</t>
        </is>
      </c>
      <c r="J19" s="42" t="inlineStr">
        <is>
          <t>Derive or synchronize iframe source from authoritative health/config state</t>
        </is>
      </c>
      <c r="K19" s="42" t="inlineStr">
        <is>
          <t>embedSrc is initialized from health data but does not clearly resynchronize when the configured Comfy URL changes. Toolbar status and iframe destination can disagree after restart/reconfiguration.</t>
        </is>
      </c>
      <c r="L19" s="42" t="inlineStr">
        <is>
          <t>Derive or synchronize iframe source from authoritative health/config state.</t>
        </is>
      </c>
      <c r="M19" s="42" t="inlineStr">
        <is>
          <t>Changing engine profile updates status and iframe to the same endpoint.</t>
        </is>
      </c>
      <c r="N19" s="42" t="inlineStr">
        <is>
          <t>ComfyUIWorkspace embedSrc initialization/update flow</t>
        </is>
      </c>
      <c r="O19" s="42" t="inlineStr">
        <is>
          <t>https://github.com/tj1784/Premiere316_AI_Director_Prototype_v2.0.0/commit/17234f7bcc9687d12afa23fbb88c6eff5be7e2a9</t>
        </is>
      </c>
      <c r="P19" s="42" t="inlineStr">
        <is>
          <t>Comfy Integration + Frontend</t>
        </is>
      </c>
      <c r="Q19" s="42" t="inlineStr">
        <is>
          <t>G1 — State truth &amp; silent loss</t>
        </is>
      </c>
      <c r="R19" s="48" t="inlineStr">
        <is>
          <t>M</t>
        </is>
      </c>
      <c r="S19" s="42" t="inlineStr">
        <is>
          <t>COMFY-001</t>
        </is>
      </c>
      <c r="T19" s="42" t="inlineStr">
        <is>
          <t>UAT-COMFY-016</t>
        </is>
      </c>
      <c r="U19" s="48" t="inlineStr">
        <is>
          <t>Not Started</t>
        </is>
      </c>
      <c r="V19" s="48" t="n">
        <v>0</v>
      </c>
      <c r="W19" s="42" t="str"/>
      <c r="X19" s="110" t="n"/>
      <c r="Y19" s="42" t="inlineStr">
        <is>
          <t>Existing 74-item source audit</t>
        </is>
      </c>
      <c r="Z19" s="42" t="str"/>
    </row>
    <row r="20" ht="62" customHeight="1">
      <c r="A20" s="42" t="inlineStr">
        <is>
          <t>COMFY-014</t>
        </is>
      </c>
      <c r="B20" s="42" t="inlineStr">
        <is>
          <t>COMFY-014</t>
        </is>
      </c>
      <c r="C20" s="42" t="inlineStr">
        <is>
          <t>Comfy Picker / Iframe</t>
        </is>
      </c>
      <c r="D20" s="48" t="inlineStr">
        <is>
          <t>P2</t>
        </is>
      </c>
      <c r="E20" s="48" t="inlineStr">
        <is>
          <t>Conditional</t>
        </is>
      </c>
      <c r="F20" s="48" t="inlineStr">
        <is>
          <t>Comfy Integration</t>
        </is>
      </c>
      <c r="G20" s="48" t="inlineStr">
        <is>
          <t>Confirmed recovery gap</t>
        </is>
      </c>
      <c r="H20" s="48" t="inlineStr">
        <is>
          <t>Yes</t>
        </is>
      </c>
      <c r="I20" s="48" t="inlineStr">
        <is>
          <t>No</t>
        </is>
      </c>
      <c r="J20" s="42" t="inlineStr">
        <is>
          <t>Add timeout, offline/error panel, restart/retry actions, and preserve context</t>
        </is>
      </c>
      <c r="K20" s="42" t="inlineStr">
        <is>
          <t>No explicit iframe load timeout, error state, or retry is provided. A hung engine leaves a blank or indefinite embedded surface.</t>
        </is>
      </c>
      <c r="L20" s="42" t="inlineStr">
        <is>
          <t>Add timeout, offline/error panel, restart/retry actions, and preserve context.</t>
        </is>
      </c>
      <c r="M20" s="42" t="inlineStr">
        <is>
          <t>Offline, refused, and hung states each resolve to an actionable panel.</t>
        </is>
      </c>
      <c r="N20" s="42" t="inlineStr">
        <is>
          <t>Comfy iframe event handling</t>
        </is>
      </c>
      <c r="O20" s="42" t="inlineStr">
        <is>
          <t>https://github.com/tj1784/Premiere316_AI_Director_Prototype_v2.0.0/commit/17234f7bcc9687d12afa23fbb88c6eff5be7e2a9</t>
        </is>
      </c>
      <c r="P20" s="42" t="inlineStr">
        <is>
          <t>Comfy Integration + Frontend</t>
        </is>
      </c>
      <c r="Q20" s="42" t="inlineStr">
        <is>
          <t>G1 — State truth &amp; silent loss</t>
        </is>
      </c>
      <c r="R20" s="48" t="inlineStr">
        <is>
          <t>M</t>
        </is>
      </c>
      <c r="S20" s="42" t="inlineStr">
        <is>
          <t>COMFY-001</t>
        </is>
      </c>
      <c r="T20" s="42" t="inlineStr">
        <is>
          <t>UAT-COMFY-014,UAT-COMFY-015</t>
        </is>
      </c>
      <c r="U20" s="48" t="inlineStr">
        <is>
          <t>Not Started</t>
        </is>
      </c>
      <c r="V20" s="48" t="n">
        <v>0</v>
      </c>
      <c r="W20" s="42" t="str"/>
      <c r="X20" s="110" t="n"/>
      <c r="Y20" s="42" t="inlineStr">
        <is>
          <t>Existing 74-item source audit</t>
        </is>
      </c>
      <c r="Z20" s="42" t="str"/>
    </row>
    <row r="21" ht="62" customHeight="1">
      <c r="A21" s="42" t="inlineStr">
        <is>
          <t>COMFY-018</t>
        </is>
      </c>
      <c r="B21" s="42" t="inlineStr">
        <is>
          <t>COMFY-018</t>
        </is>
      </c>
      <c r="C21" s="42" t="inlineStr">
        <is>
          <t>Comfy Picker / Iframe</t>
        </is>
      </c>
      <c r="D21" s="48" t="inlineStr">
        <is>
          <t>P2</t>
        </is>
      </c>
      <c r="E21" s="48" t="inlineStr">
        <is>
          <t>Conditional</t>
        </is>
      </c>
      <c r="F21" s="48" t="inlineStr">
        <is>
          <t>Comfy Integration</t>
        </is>
      </c>
      <c r="G21" s="48" t="inlineStr">
        <is>
          <t>Integration fragility</t>
        </is>
      </c>
      <c r="H21" s="48" t="inlineStr">
        <is>
          <t>Yes</t>
        </is>
      </c>
      <c r="I21" s="48" t="inlineStr">
        <is>
          <t>No</t>
        </is>
      </c>
      <c r="J21" s="42" t="inlineStr">
        <is>
          <t>Introduce a versioned extension/bridge owned by Premiere316 with capability negotiation</t>
        </is>
      </c>
      <c r="K21" s="42" t="inlineStr">
        <is>
          <t>Graph loading depends on private Comfy globals such as app/comfyApp and private methods. A ComfyUI update can break loading without a compile-time or contract warning.</t>
        </is>
      </c>
      <c r="L21" s="42" t="inlineStr">
        <is>
          <t>Introduce a versioned extension/bridge owned by Premiere316 with capability negotiation.</t>
        </is>
      </c>
      <c r="M21" s="42" t="inlineStr">
        <is>
          <t>Unsupported bridge versions fail closed with remediation.</t>
        </is>
      </c>
      <c r="N21" s="42" t="inlineStr">
        <is>
          <t>ComfyUIWorkspace injectGraph</t>
        </is>
      </c>
      <c r="O21" s="42" t="inlineStr">
        <is>
          <t>https://github.com/tj1784/Premiere316_AI_Director_Prototype_v2.0.0/commit/17234f7bcc9687d12afa23fbb88c6eff5be7e2a9</t>
        </is>
      </c>
      <c r="P21" s="42" t="inlineStr">
        <is>
          <t>Comfy Integration + Frontend</t>
        </is>
      </c>
      <c r="Q21" s="42" t="inlineStr">
        <is>
          <t>G1 — State truth &amp; silent loss</t>
        </is>
      </c>
      <c r="R21" s="48" t="inlineStr">
        <is>
          <t>M</t>
        </is>
      </c>
      <c r="S21" s="42" t="inlineStr">
        <is>
          <t>COMFY-001</t>
        </is>
      </c>
      <c r="T21" s="42" t="inlineStr">
        <is>
          <t>UAT-COMFY-011</t>
        </is>
      </c>
      <c r="U21" s="48" t="inlineStr">
        <is>
          <t>Not Started</t>
        </is>
      </c>
      <c r="V21" s="48" t="n">
        <v>0</v>
      </c>
      <c r="W21" s="42" t="str"/>
      <c r="X21" s="110" t="n"/>
      <c r="Y21" s="42" t="inlineStr">
        <is>
          <t>Existing 74-item source audit</t>
        </is>
      </c>
      <c r="Z21" s="42" t="str"/>
    </row>
    <row r="22" ht="62" customHeight="1">
      <c r="A22" s="42" t="inlineStr">
        <is>
          <t>COMFY-019</t>
        </is>
      </c>
      <c r="B22" s="42" t="inlineStr">
        <is>
          <t>COMFY-019</t>
        </is>
      </c>
      <c r="C22" s="42" t="inlineStr">
        <is>
          <t>Comfy Picker / Iframe</t>
        </is>
      </c>
      <c r="D22" s="48" t="inlineStr">
        <is>
          <t>P2</t>
        </is>
      </c>
      <c r="E22" s="48" t="inlineStr">
        <is>
          <t>Conditional</t>
        </is>
      </c>
      <c r="F22" s="48" t="inlineStr">
        <is>
          <t>Comfy Integration</t>
        </is>
      </c>
      <c r="G22" s="48" t="inlineStr">
        <is>
          <t>Confirmed async-state defect</t>
        </is>
      </c>
      <c r="H22" s="48" t="inlineStr">
        <is>
          <t>Yes</t>
        </is>
      </c>
      <c r="I22" s="48" t="inlineStr">
        <is>
          <t>No</t>
        </is>
      </c>
      <c r="J22" s="42" t="inlineStr">
        <is>
          <t>Await bridge completion and handle rejection</t>
        </is>
      </c>
      <c r="K22" s="42" t="inlineStr">
        <is>
          <t>Potentially asynchronous graph-load methods are not awaited before success is shown. The toolbar can report success while loading later fails.</t>
        </is>
      </c>
      <c r="L22" s="42" t="inlineStr">
        <is>
          <t>Await bridge completion and handle rejection.</t>
        </is>
      </c>
      <c r="M22" s="42" t="inlineStr">
        <is>
          <t>Success is emitted only after graph parse, apply, and canvas-ready acknowledgement.</t>
        </is>
      </c>
      <c r="N22" s="42" t="inlineStr">
        <is>
          <t>ComfyUIWorkspace injectGraph invocation</t>
        </is>
      </c>
      <c r="O22" s="42" t="inlineStr">
        <is>
          <t>https://github.com/tj1784/Premiere316_AI_Director_Prototype_v2.0.0/commit/17234f7bcc9687d12afa23fbb88c6eff5be7e2a9</t>
        </is>
      </c>
      <c r="P22" s="42" t="inlineStr">
        <is>
          <t>Comfy Integration + Frontend</t>
        </is>
      </c>
      <c r="Q22" s="42" t="inlineStr">
        <is>
          <t>G1 — State truth &amp; silent loss</t>
        </is>
      </c>
      <c r="R22" s="48" t="inlineStr">
        <is>
          <t>M</t>
        </is>
      </c>
      <c r="S22" s="42" t="inlineStr">
        <is>
          <t>COMFY-001</t>
        </is>
      </c>
      <c r="T22" s="42" t="inlineStr">
        <is>
          <t>UAT-COMFY-002,UAT-COMFY-008</t>
        </is>
      </c>
      <c r="U22" s="48" t="inlineStr">
        <is>
          <t>Done</t>
        </is>
      </c>
      <c r="V22" s="48" t="n">
        <v>100</v>
      </c>
      <c r="W22" s="42" t="str"/>
      <c r="X22" s="110" t="n"/>
      <c r="Y22" s="42" t="inlineStr">
        <is>
          <t>Existing 74-item source audit</t>
        </is>
      </c>
      <c r="Z22" s="42" t="inlineStr">
        <is>
          <t>Implemented 2026-08-22: Await loadGraphData before success</t>
        </is>
      </c>
    </row>
    <row r="23" ht="62" customHeight="1">
      <c r="A23" s="42" t="inlineStr">
        <is>
          <t>COMFY-012</t>
        </is>
      </c>
      <c r="B23" s="42" t="inlineStr">
        <is>
          <t>COMFY-012</t>
        </is>
      </c>
      <c r="C23" s="42" t="inlineStr">
        <is>
          <t>Comfy Picker / Queue</t>
        </is>
      </c>
      <c r="D23" s="48" t="inlineStr">
        <is>
          <t>P2</t>
        </is>
      </c>
      <c r="E23" s="48" t="inlineStr">
        <is>
          <t>Conditional</t>
        </is>
      </c>
      <c r="F23" s="48" t="inlineStr">
        <is>
          <t>Comfy Integration</t>
        </is>
      </c>
      <c r="G23" s="48" t="inlineStr">
        <is>
          <t>Confirmed brittle integration</t>
        </is>
      </c>
      <c r="H23" s="48" t="inlineStr">
        <is>
          <t>Yes</t>
        </is>
      </c>
      <c r="I23" s="48" t="inlineStr">
        <is>
          <t>No</t>
        </is>
      </c>
      <c r="J23" s="42" t="inlineStr">
        <is>
          <t>Queue through a versioned API/bridge and return prompt/job ID</t>
        </is>
      </c>
      <c r="K23" s="42" t="inlineStr">
        <is>
          <t>Queueing can scrape iframe DOM text and click a visible Queue control, then report success without job/prompt acknowledgement. UI changes, localization, or delayed queue failure can create false success.</t>
        </is>
      </c>
      <c r="L23" s="42" t="inlineStr">
        <is>
          <t>Queue through a versioned API/bridge and return prompt/job ID.</t>
        </is>
      </c>
      <c r="M23" s="42" t="inlineStr">
        <is>
          <t>Success is shown only after an accepted prompt ID is returned.</t>
        </is>
      </c>
      <c r="N23" s="42" t="inlineStr">
        <is>
          <t>ComfyUIWorkspace queueVisibleWorkflow</t>
        </is>
      </c>
      <c r="O23" s="42" t="inlineStr">
        <is>
          <t>https://github.com/tj1784/Premiere316_AI_Director_Prototype_v2.0.0/commit/17234f7bcc9687d12afa23fbb88c6eff5be7e2a9</t>
        </is>
      </c>
      <c r="P23" s="42" t="inlineStr">
        <is>
          <t>Comfy Integration + Frontend</t>
        </is>
      </c>
      <c r="Q23" s="42" t="inlineStr">
        <is>
          <t>G1 — State truth &amp; silent loss</t>
        </is>
      </c>
      <c r="R23" s="48" t="inlineStr">
        <is>
          <t>M</t>
        </is>
      </c>
      <c r="S23" s="42" t="inlineStr">
        <is>
          <t>COMFY-001,COMFY-002</t>
        </is>
      </c>
      <c r="T23" s="42" t="inlineStr">
        <is>
          <t>UAT-COMFY-012,UAT-COMFY-013</t>
        </is>
      </c>
      <c r="U23" s="48" t="inlineStr">
        <is>
          <t>Not Started</t>
        </is>
      </c>
      <c r="V23" s="48" t="n">
        <v>0</v>
      </c>
      <c r="W23" s="42" t="str"/>
      <c r="X23" s="110" t="n"/>
      <c r="Y23" s="42" t="inlineStr">
        <is>
          <t>Existing 74-item source audit</t>
        </is>
      </c>
      <c r="Z23" s="42" t="str"/>
    </row>
    <row r="24" ht="62" customHeight="1">
      <c r="A24" s="42" t="inlineStr">
        <is>
          <t>COMFY-010</t>
        </is>
      </c>
      <c r="B24" s="42" t="inlineStr">
        <is>
          <t>COMFY-010</t>
        </is>
      </c>
      <c r="C24" s="42" t="inlineStr">
        <is>
          <t>Comfy Picker / Server</t>
        </is>
      </c>
      <c r="D24" s="48" t="inlineStr">
        <is>
          <t>P2</t>
        </is>
      </c>
      <c r="E24" s="48" t="inlineStr">
        <is>
          <t>Conditional</t>
        </is>
      </c>
      <c r="F24" s="48" t="inlineStr">
        <is>
          <t>Comfy Integration</t>
        </is>
      </c>
      <c r="G24" s="48" t="inlineStr">
        <is>
          <t>Confirmed resolution ambiguity</t>
        </is>
      </c>
      <c r="H24" s="48" t="inlineStr">
        <is>
          <t>Yes</t>
        </is>
      </c>
      <c r="I24" s="48" t="inlineStr">
        <is>
          <t>No</t>
        </is>
      </c>
      <c r="J24" s="42" t="inlineStr">
        <is>
          <t>Use manifest-backed exact IDs; reject ambiguous matches</t>
        </is>
      </c>
      <c r="K24" s="42" t="inlineStr">
        <is>
          <t>Fuzzy substring graph matching can choose an unintended file when IDs overlap. The wrong workflow can load while the picker label appears correct.</t>
        </is>
      </c>
      <c r="L24" s="42" t="inlineStr">
        <is>
          <t>Use manifest-backed exact IDs; reject ambiguous matches.</t>
        </is>
      </c>
      <c r="M24" s="42" t="inlineStr">
        <is>
          <t>Overlapping-name fixtures either resolve exactly or return an explicit ambiguity error.</t>
        </is>
      </c>
      <c r="N24" s="42" t="inlineStr">
        <is>
          <t>server/aaa-workflow.js findPackageWorkflow/readWorkflowGraph fallback order</t>
        </is>
      </c>
      <c r="O24" s="42" t="inlineStr">
        <is>
          <t>https://github.com/tj1784/Premiere316_AI_Director_Prototype_v2.0.0/blob/17234f7bcc9687d12afa23fbb88c6eff5be7e2a9/server/aaa-workflow.js</t>
        </is>
      </c>
      <c r="P24" s="42" t="inlineStr">
        <is>
          <t>Backend + Comfy Integration</t>
        </is>
      </c>
      <c r="Q24" s="42" t="inlineStr">
        <is>
          <t>G1 — State truth &amp; silent loss</t>
        </is>
      </c>
      <c r="R24" s="48" t="inlineStr">
        <is>
          <t>M</t>
        </is>
      </c>
      <c r="S24" s="42" t="inlineStr">
        <is>
          <t>COMFY-003</t>
        </is>
      </c>
      <c r="T24" s="42" t="inlineStr">
        <is>
          <t>UAT-COMFY-009</t>
        </is>
      </c>
      <c r="U24" s="48" t="inlineStr">
        <is>
          <t>Done</t>
        </is>
      </c>
      <c r="V24" s="48" t="n">
        <v>100</v>
      </c>
      <c r="W24" s="42" t="str"/>
      <c r="X24" s="110" t="n"/>
      <c r="Y24" s="42" t="inlineStr">
        <is>
          <t>Existing 74-item source audit</t>
        </is>
      </c>
      <c r="Z24" s="42" t="inlineStr">
        <is>
          <t>Implemented 2026-08-22: Exact IDs; ambiguous matches 409</t>
        </is>
      </c>
    </row>
    <row r="25" ht="62" customHeight="1">
      <c r="A25" s="42" t="inlineStr">
        <is>
          <t>IMP-015</t>
        </is>
      </c>
      <c r="B25" s="42" t="inlineStr">
        <is>
          <t>IMP-015</t>
        </is>
      </c>
      <c r="C25" s="42" t="inlineStr">
        <is>
          <t>Sequence / Folder Drop</t>
        </is>
      </c>
      <c r="D25" s="48" t="inlineStr">
        <is>
          <t>P2</t>
        </is>
      </c>
      <c r="E25" s="48" t="inlineStr">
        <is>
          <t>Conditional</t>
        </is>
      </c>
      <c r="F25" s="48" t="inlineStr">
        <is>
          <t>Import / Reliability</t>
        </is>
      </c>
      <c r="G25" s="48" t="inlineStr">
        <is>
          <t>Confirmed silent no-op</t>
        </is>
      </c>
      <c r="H25" s="48" t="inlineStr">
        <is>
          <t>Yes</t>
        </is>
      </c>
      <c r="I25" s="48" t="inlineStr">
        <is>
          <t>No</t>
        </is>
      </c>
      <c r="J25" s="42" t="inlineStr">
        <is>
          <t>Always report scanned and rejected totals/reasons</t>
        </is>
      </c>
      <c r="K25" s="42" t="inlineStr">
        <is>
          <t>A drop containing only unsupported files can return without actionable feedback. Users do not know whether the drop was seen.</t>
        </is>
      </c>
      <c r="L25" s="42" t="inlineStr">
        <is>
          <t>Always report scanned and rejected totals/reasons.</t>
        </is>
      </c>
      <c r="M25" s="42" t="inlineStr">
        <is>
          <t>Unsupported-only drops produce a persistent explanatory result.</t>
        </is>
      </c>
      <c r="N25" s="42" t="inlineStr">
        <is>
          <t>eligible-file filtering and early return</t>
        </is>
      </c>
      <c r="O25" s="42" t="inlineStr">
        <is>
          <t>https://github.com/tj1784/Premiere316_AI_Director_Prototype_v2.0.0/commit/17234f7bcc9687d12afa23fbb88c6eff5be7e2a9</t>
        </is>
      </c>
      <c r="P25" s="42" t="inlineStr">
        <is>
          <t>Full Stack</t>
        </is>
      </c>
      <c r="Q25" s="42" t="inlineStr">
        <is>
          <t>G1 — State truth &amp; silent loss</t>
        </is>
      </c>
      <c r="R25" s="48" t="inlineStr">
        <is>
          <t>M</t>
        </is>
      </c>
      <c r="S25" s="42" t="str"/>
      <c r="T25" s="42" t="inlineStr">
        <is>
          <t>UAT-DROP-002</t>
        </is>
      </c>
      <c r="U25" s="48" t="inlineStr">
        <is>
          <t>Done</t>
        </is>
      </c>
      <c r="V25" s="48" t="n">
        <v>100</v>
      </c>
      <c r="W25" s="42" t="str"/>
      <c r="X25" s="110" t="n"/>
      <c r="Y25" s="42" t="inlineStr">
        <is>
          <t>Existing 74-item source audit</t>
        </is>
      </c>
      <c r="Z25" s="42" t="inlineStr">
        <is>
          <t>Implemented 2026-08-22: Unsupported-only drops produce a persistent report</t>
        </is>
      </c>
    </row>
    <row r="26" ht="62" customHeight="1">
      <c r="A26" s="42" t="inlineStr">
        <is>
          <t>IMP-016</t>
        </is>
      </c>
      <c r="B26" s="42" t="inlineStr">
        <is>
          <t>IMP-016</t>
        </is>
      </c>
      <c r="C26" s="42" t="inlineStr">
        <is>
          <t>Sequence / Folder Drop</t>
        </is>
      </c>
      <c r="D26" s="48" t="inlineStr">
        <is>
          <t>P2</t>
        </is>
      </c>
      <c r="E26" s="48" t="inlineStr">
        <is>
          <t>Conditional</t>
        </is>
      </c>
      <c r="F26" s="48" t="inlineStr">
        <is>
          <t>Import / Reliability</t>
        </is>
      </c>
      <c r="G26" s="48" t="inlineStr">
        <is>
          <t>Confirmed recovery gap</t>
        </is>
      </c>
      <c r="H26" s="48" t="inlineStr">
        <is>
          <t>Yes</t>
        </is>
      </c>
      <c r="I26" s="48" t="inlineStr">
        <is>
          <t>No</t>
        </is>
      </c>
      <c r="J26" s="42" t="inlineStr">
        <is>
          <t>Retain a session result object with retry/export</t>
        </is>
      </c>
      <c r="K26" s="42" t="inlineStr">
        <is>
          <t>There is no failed-only retry or exportable error list. Users must re-drop entire folders and risk more duplicates.</t>
        </is>
      </c>
      <c r="L26" s="42" t="inlineStr">
        <is>
          <t>Retain a session result object with retry/export.</t>
        </is>
      </c>
      <c r="M26" s="42" t="inlineStr">
        <is>
          <t>Retry failed reprocesses only failed items.</t>
        </is>
      </c>
      <c r="N26" s="42" t="inlineStr">
        <is>
          <t>Import result UI</t>
        </is>
      </c>
      <c r="O26" s="42" t="inlineStr">
        <is>
          <t>https://github.com/tj1784/Premiere316_AI_Director_Prototype_v2.0.0/commit/17234f7bcc9687d12afa23fbb88c6eff5be7e2a9</t>
        </is>
      </c>
      <c r="P26" s="42" t="inlineStr">
        <is>
          <t>Full Stack</t>
        </is>
      </c>
      <c r="Q26" s="42" t="inlineStr">
        <is>
          <t>G1 — State truth &amp; silent loss</t>
        </is>
      </c>
      <c r="R26" s="48" t="inlineStr">
        <is>
          <t>M</t>
        </is>
      </c>
      <c r="S26" s="42" t="inlineStr">
        <is>
          <t>IMP-001</t>
        </is>
      </c>
      <c r="T26" s="42" t="inlineStr">
        <is>
          <t>UAT-DROP-014</t>
        </is>
      </c>
      <c r="U26" s="48" t="inlineStr">
        <is>
          <t>Not Started</t>
        </is>
      </c>
      <c r="V26" s="48" t="n">
        <v>0</v>
      </c>
      <c r="W26" s="42" t="str"/>
      <c r="X26" s="110" t="n"/>
      <c r="Y26" s="42" t="inlineStr">
        <is>
          <t>Existing 74-item source audit</t>
        </is>
      </c>
      <c r="Z26" s="42" t="str"/>
    </row>
    <row r="27" ht="62" customHeight="1">
      <c r="A27" s="42" t="inlineStr">
        <is>
          <t>IMP-023</t>
        </is>
      </c>
      <c r="B27" s="42" t="inlineStr">
        <is>
          <t>IMP-023</t>
        </is>
      </c>
      <c r="C27" s="42" t="inlineStr">
        <is>
          <t>Sequence / Folder Drop</t>
        </is>
      </c>
      <c r="D27" s="48" t="inlineStr">
        <is>
          <t>P2</t>
        </is>
      </c>
      <c r="E27" s="48" t="inlineStr">
        <is>
          <t>Conditional</t>
        </is>
      </c>
      <c r="F27" s="48" t="inlineStr">
        <is>
          <t>Product / Reliability</t>
        </is>
      </c>
      <c r="G27" s="48" t="inlineStr">
        <is>
          <t>Behavior contract missing</t>
        </is>
      </c>
      <c r="H27" s="48" t="inlineStr">
        <is>
          <t>Yes</t>
        </is>
      </c>
      <c r="I27" s="48" t="inlineStr">
        <is>
          <t>Yes</t>
        </is>
      </c>
      <c r="J27" s="42" t="inlineStr">
        <is>
          <t>Define and implement a deterministic policy: keep preview playing with non-blocking import, or pause with explanation; never allow import to bypass an unresolved edit conflict</t>
        </is>
      </c>
      <c r="K27" s="42" t="inlineStr">
        <is>
          <t>The product does not define what happens when a folder is dropped while the sequence is playing, autosaving, or in a revision-conflict state. Playback, selection, save state, and import feedback can compete, making the result difficult to understand or reproduce.</t>
        </is>
      </c>
      <c r="L27" s="42" t="inlineStr">
        <is>
          <t>Define and implement a deterministic policy: keep preview playing with non-blocking import, or pause with explanation; never allow import to bypass an unresolved edit conflict.</t>
        </is>
      </c>
      <c r="M27" s="42" t="inlineStr">
        <is>
          <t>Dropping during playback and during a save conflict produces the documented state with no lost edit, duplicated action, or hidden media failure.</t>
        </is>
      </c>
      <c r="N27" s="42" t="inlineStr">
        <is>
          <t>Sequence editor import and transport state are independent</t>
        </is>
      </c>
      <c r="O27" s="42" t="inlineStr">
        <is>
          <t>https://github.com/tj1784/Premiere316_AI_Director_Prototype_v2.0.0/commit/17234f7bcc9687d12afa23fbb88c6eff5be7e2a9</t>
        </is>
      </c>
      <c r="P27" s="42" t="inlineStr">
        <is>
          <t>Product + Frontend</t>
        </is>
      </c>
      <c r="Q27" s="42" t="inlineStr">
        <is>
          <t>G1 — State truth &amp; silent loss</t>
        </is>
      </c>
      <c r="R27" s="48" t="inlineStr">
        <is>
          <t>M</t>
        </is>
      </c>
      <c r="S27" s="42" t="str"/>
      <c r="T27" s="42" t="inlineStr">
        <is>
          <t>UAT-DROP-027</t>
        </is>
      </c>
      <c r="U27" s="48" t="inlineStr">
        <is>
          <t>Not Started</t>
        </is>
      </c>
      <c r="V27" s="48" t="n">
        <v>0</v>
      </c>
      <c r="W27" s="42" t="str"/>
      <c r="X27" s="110" t="n"/>
      <c r="Y27" s="42" t="inlineStr">
        <is>
          <t>User QA plan</t>
        </is>
      </c>
      <c r="Z27" s="42" t="str"/>
    </row>
    <row r="28" ht="62" customHeight="1">
      <c r="A28" s="42" t="inlineStr">
        <is>
          <t>SCOPE-006</t>
        </is>
      </c>
      <c r="B28" s="42" t="inlineStr">
        <is>
          <t>SCOPE-006</t>
        </is>
      </c>
      <c r="C28" s="42" t="inlineStr">
        <is>
          <t>Product Scope / BlokeyUI Boundary</t>
        </is>
      </c>
      <c r="D28" s="48" t="inlineStr">
        <is>
          <t>P3</t>
        </is>
      </c>
      <c r="E28" s="48" t="inlineStr">
        <is>
          <t>Conditional</t>
        </is>
      </c>
      <c r="F28" s="48" t="inlineStr">
        <is>
          <t>Scope / Release</t>
        </is>
      </c>
      <c r="G28" s="48" t="inlineStr">
        <is>
          <t>Scope clarification</t>
        </is>
      </c>
      <c r="H28" s="48" t="inlineStr">
        <is>
          <t>Yes</t>
        </is>
      </c>
      <c r="I28" s="48" t="inlineStr">
        <is>
          <t>Yes</t>
        </is>
      </c>
      <c r="J28" s="42" t="inlineStr">
        <is>
          <t>Keep BlokeyUI code/UI out of the audit, but require a tracked workflow manifest or deterministic import contract at the Premiere316 boundary</t>
        </is>
      </c>
      <c r="K28" s="42" t="inlineStr">
        <is>
          <t>BlokeyUI implementation details are out of scope, but the released picker still depends on a workflow path inside that local tree. Ignoring the dependency contract would leave clean-clone reproducibility unresolved even while respecting the implementation boundary.</t>
        </is>
      </c>
      <c r="L28" s="42" t="inlineStr">
        <is>
          <t>Keep BlokeyUI code/UI out of the audit, but require a tracked workflow manifest or deterministic import contract at the Premiere316 boundary.</t>
        </is>
      </c>
      <c r="M28" s="42" t="inlineStr">
        <is>
          <t>The release can be reproduced without reviewing or modifying private/local BlokeyUI internals.</t>
        </is>
      </c>
      <c r="N28" s="42" t="inlineStr">
        <is>
          <t>User scope statement and COMFY-003</t>
        </is>
      </c>
      <c r="O28" s="42" t="inlineStr">
        <is>
          <t>https://github.com/tj1784/Premiere316_AI_Director_Prototype_v2.0.0/commit/17234f7bcc9687d12afa23fbb88c6eff5be7e2a9</t>
        </is>
      </c>
      <c r="P28" s="42" t="inlineStr">
        <is>
          <t>Architecture + Release</t>
        </is>
      </c>
      <c r="Q28" s="42" t="inlineStr">
        <is>
          <t>G1 — State truth &amp; silent loss</t>
        </is>
      </c>
      <c r="R28" s="48" t="inlineStr">
        <is>
          <t>S</t>
        </is>
      </c>
      <c r="S28" s="42" t="inlineStr">
        <is>
          <t>COMFY-003</t>
        </is>
      </c>
      <c r="T28" s="42" t="str"/>
      <c r="U28" s="48" t="inlineStr">
        <is>
          <t>Done</t>
        </is>
      </c>
      <c r="V28" s="48" t="n">
        <v>100</v>
      </c>
      <c r="W28" s="42" t="str"/>
      <c r="X28" s="110" t="n"/>
      <c r="Y28" s="42" t="inlineStr">
        <is>
          <t>Reconciliation scope correction</t>
        </is>
      </c>
      <c r="Z28" s="42" t="inlineStr">
        <is>
          <t>Implemented 2026-08-22: ADR 0001 + packaged manifest</t>
        </is>
      </c>
    </row>
    <row r="29" ht="62" customHeight="1">
      <c r="A29" s="42" t="inlineStr">
        <is>
          <t>SEQ-AUD-001</t>
        </is>
      </c>
      <c r="B29" s="42" t="inlineStr">
        <is>
          <t>SEQ-AUD-001</t>
        </is>
      </c>
      <c r="C29" s="42" t="inlineStr">
        <is>
          <t>Sequence / Audio</t>
        </is>
      </c>
      <c r="D29" s="48" t="inlineStr">
        <is>
          <t>P1</t>
        </is>
      </c>
      <c r="E29" s="48" t="inlineStr">
        <is>
          <t>Yes</t>
        </is>
      </c>
      <c r="F29" s="48" t="inlineStr">
        <is>
          <t>Audio / Media Engine</t>
        </is>
      </c>
      <c r="G29" s="48" t="inlineStr">
        <is>
          <t>Confirmed code defect</t>
        </is>
      </c>
      <c r="H29" s="48" t="inlineStr">
        <is>
          <t>Yes</t>
        </is>
      </c>
      <c r="I29" s="48" t="inlineStr">
        <is>
          <t>No</t>
        </is>
      </c>
      <c r="J29" s="42" t="inlineStr">
        <is>
          <t>Use Web Audio GainNode or another path that supports gain above unity, or remove positive gain from the UI/export contract</t>
        </is>
      </c>
      <c r="K29" s="42" t="inlineStr">
        <is>
          <t>Preview gain converts dB to linear gain and clamps it to 0–1, while the editor/export path permits positive gain up to +12 dB. Preview and export do not match. A +12 dB clip previews at unity but exports at roughly 3.98× linear gain, creating surprise loudness or clipping.</t>
        </is>
      </c>
      <c r="L29" s="42" t="inlineStr">
        <is>
          <t>Use Web Audio GainNode or another path that supports gain above unity, or remove positive gain from the UI/export contract.</t>
        </is>
      </c>
      <c r="M29" s="42" t="inlineStr">
        <is>
          <t>For -24, -12, 0, +6, and +12 dB, preview and exported integrated/peak levels agree within 0.5 dB.</t>
        </is>
      </c>
      <c r="N29" s="42" t="inlineStr">
        <is>
          <t>client/src/components/SequenceEditorWorkspace.tsx — dB gain clamp; server/ffmpeg.js — export volume application</t>
        </is>
      </c>
      <c r="O29" s="42" t="inlineStr">
        <is>
          <t>https://github.com/tj1784/Premiere316_AI_Director_Prototype_v2.0.0/blob/17234f7bcc9687d12afa23fbb88c6eff5be7e2a9/client/src/components/SequenceEditorWorkspace.tsx
https://github.com/tj1784/Premiere316_AI_Director_Prototype_v2.0.0/blob/17234f7bcc9687d12afa23fbb88c6eff5be7e2a9/server/ffmpeg.js</t>
        </is>
      </c>
      <c r="P29" s="42" t="inlineStr">
        <is>
          <t>Media Engine</t>
        </is>
      </c>
      <c r="Q29" s="42" t="inlineStr">
        <is>
          <t>G2 — Playback/import architecture</t>
        </is>
      </c>
      <c r="R29" s="48" t="inlineStr">
        <is>
          <t>XL</t>
        </is>
      </c>
      <c r="S29" s="42" t="str"/>
      <c r="T29" s="42" t="inlineStr">
        <is>
          <t>UAT-PLAY-004,UAT-PLAY-014</t>
        </is>
      </c>
      <c r="U29" s="48" t="inlineStr">
        <is>
          <t>In Progress</t>
        </is>
      </c>
      <c r="V29" s="48" t="n">
        <v>70</v>
      </c>
      <c r="W29" s="42" t="str"/>
      <c r="X29" s="110" t="n"/>
      <c r="Y29" s="42" t="inlineStr">
        <is>
          <t>Existing 74-item source audit</t>
        </is>
      </c>
      <c r="Z29" s="42" t="inlineStr">
        <is>
          <t>Implemented 2026-08-22: Preview GainNode not clamped; measured export parity still open</t>
        </is>
      </c>
    </row>
    <row r="30" ht="62" customHeight="1">
      <c r="A30" s="42" t="inlineStr">
        <is>
          <t>IMP-003</t>
        </is>
      </c>
      <c r="B30" s="42" t="inlineStr">
        <is>
          <t>IMP-003</t>
        </is>
      </c>
      <c r="C30" s="42" t="inlineStr">
        <is>
          <t>Sequence / Folder Drop</t>
        </is>
      </c>
      <c r="D30" s="48" t="inlineStr">
        <is>
          <t>P1</t>
        </is>
      </c>
      <c r="E30" s="48" t="inlineStr">
        <is>
          <t>Yes</t>
        </is>
      </c>
      <c r="F30" s="48" t="inlineStr">
        <is>
          <t>Import / Reliability</t>
        </is>
      </c>
      <c r="G30" s="48" t="inlineStr">
        <is>
          <t>Confirmed server architecture risk</t>
        </is>
      </c>
      <c r="H30" s="48" t="inlineStr">
        <is>
          <t>Yes</t>
        </is>
      </c>
      <c r="I30" s="48" t="inlineStr">
        <is>
          <t>No</t>
        </is>
      </c>
      <c r="J30" s="42" t="inlineStr">
        <is>
          <t>Stream multipart data directly to a staging file, validate while streaming, atomically rename, expose progress, and make limits explicit in the UI</t>
        </is>
      </c>
      <c r="K30" s="42" t="inlineStr">
        <is>
          <t>Large uploads use in-memory multipart buffering and synchronous disk writes, with very large configured limits. Large AI-video imports can spike process memory, block the event loop, freeze the UI/API, or terminate the server.</t>
        </is>
      </c>
      <c r="L30" s="42" t="inlineStr">
        <is>
          <t>Stream multipart data directly to a staging file, validate while streaming, atomically rename, expose progress, and make limits explicit in the UI.</t>
        </is>
      </c>
      <c r="M30" s="42" t="inlineStr">
        <is>
          <t>Importing files near the configured limit does not cause a material event-loop stall or memory spike proportional to full file size.</t>
        </is>
      </c>
      <c r="N30" s="42" t="inlineStr">
        <is>
          <t>server/index.js — multer memory storage/limits and import routes; server/sequence-editor.js — synchronous writes</t>
        </is>
      </c>
      <c r="O30" s="42" t="inlineStr">
        <is>
          <t>https://github.com/tj1784/Premiere316_AI_Director_Prototype_v2.0.0/blob/17234f7bcc9687d12afa23fbb88c6eff5be7e2a9/server/index.js
https://github.com/tj1784/Premiere316_AI_Director_Prototype_v2.0.0/blob/17234f7bcc9687d12afa23fbb88c6eff5be7e2a9/server/sequence-editor.js</t>
        </is>
      </c>
      <c r="P30" s="42" t="inlineStr">
        <is>
          <t>Full Stack</t>
        </is>
      </c>
      <c r="Q30" s="42" t="inlineStr">
        <is>
          <t>G2 — Playback/import architecture</t>
        </is>
      </c>
      <c r="R30" s="48" t="inlineStr">
        <is>
          <t>L</t>
        </is>
      </c>
      <c r="S30" s="42" t="str"/>
      <c r="T30" s="42" t="inlineStr">
        <is>
          <t>UAT-DROP-003</t>
        </is>
      </c>
      <c r="U30" s="48" t="inlineStr">
        <is>
          <t>In Progress</t>
        </is>
      </c>
      <c r="V30" s="48" t="n">
        <v>60</v>
      </c>
      <c r="W30" s="42" t="str"/>
      <c r="X30" s="110" t="n"/>
      <c r="Y30" s="42" t="inlineStr">
        <is>
          <t>Existing 74-item source audit</t>
        </is>
      </c>
      <c r="Z30" s="42" t="inlineStr">
        <is>
          <t>Implemented 2026-08-22: Editor uploads use disk staging + atomic rename; other multer routes still memory</t>
        </is>
      </c>
    </row>
    <row r="31" ht="62" customHeight="1">
      <c r="A31" s="42" t="inlineStr">
        <is>
          <t>SEQ-PLAY-001</t>
        </is>
      </c>
      <c r="B31" s="42" t="inlineStr">
        <is>
          <t>SEQ-PLAY-001</t>
        </is>
      </c>
      <c r="C31" s="42" t="inlineStr">
        <is>
          <t>Sequence / Playback</t>
        </is>
      </c>
      <c r="D31" s="48" t="inlineStr">
        <is>
          <t>P1</t>
        </is>
      </c>
      <c r="E31" s="48" t="inlineStr">
        <is>
          <t>Yes</t>
        </is>
      </c>
      <c r="F31" s="48" t="inlineStr">
        <is>
          <t>Sequence / Media Engine</t>
        </is>
      </c>
      <c r="G31" s="48" t="inlineStr">
        <is>
          <t>Confirmed code defect; runtime impact high-confidence</t>
        </is>
      </c>
      <c r="H31" s="48" t="inlineStr">
        <is>
          <t>Yes</t>
        </is>
      </c>
      <c r="I31" s="48" t="inlineStr">
        <is>
          <t>No</t>
        </is>
      </c>
      <c r="J31" s="42" t="inlineStr">
        <is>
          <t>Make media readiness authoritative</t>
        </is>
      </c>
      <c r="K31" s="42" t="inlineStr">
        <is>
          <t>The program clock advances from requestAnimationFrame wall-clock time even while the current video is waiting, stalled, seeking, or not ready. The playhead and auxiliary audio can move ahead while picture is frozen, followed by a hard seek or skipped visual material. Editorial timing cannot be trusted.</t>
        </is>
      </c>
      <c r="L31" s="42" t="inlineStr">
        <is>
          <t>Make media readiness authoritative. Pause the transport clock on waiting/stalled/seeking; resume only after canplay/seeked. Use a shared master clock and explicit buffering state.</t>
        </is>
      </c>
      <c r="M31" s="42" t="inlineStr">
        <is>
          <t>Under throttled decode/network conditions, the program playhead does not advance during a stall; picture and audio return within one frame at 24 fps.</t>
        </is>
      </c>
      <c r="N31" s="42" t="inlineStr">
        <is>
          <t>client/src/components/SequenceEditorWorkspace.tsx — beginPlayback/requestAnimationFrame and media synchronization logic</t>
        </is>
      </c>
      <c r="O31" s="42" t="inlineStr">
        <is>
          <t>https://github.com/tj1784/Premiere316_AI_Director_Prototype_v2.0.0/blob/17234f7bcc9687d12afa23fbb88c6eff5be7e2a9/client/src/components/SequenceEditorWorkspace.tsx</t>
        </is>
      </c>
      <c r="P31" s="42" t="inlineStr">
        <is>
          <t>Media Engine + Frontend</t>
        </is>
      </c>
      <c r="Q31" s="42" t="inlineStr">
        <is>
          <t>G2 — Playback/import architecture</t>
        </is>
      </c>
      <c r="R31" s="48" t="inlineStr">
        <is>
          <t>XL</t>
        </is>
      </c>
      <c r="S31" s="42" t="str"/>
      <c r="T31" s="42" t="inlineStr">
        <is>
          <t>UAT-PLAY-002,UAT-PLAY-003</t>
        </is>
      </c>
      <c r="U31" s="48" t="inlineStr">
        <is>
          <t>In Progress</t>
        </is>
      </c>
      <c r="V31" s="48" t="n">
        <v>70</v>
      </c>
      <c r="W31" s="42" t="str"/>
      <c r="X31" s="110" t="n"/>
      <c r="Y31" s="42" t="inlineStr">
        <is>
          <t>Existing 74-item source audit</t>
        </is>
      </c>
      <c r="Z31" s="42" t="inlineStr">
        <is>
          <t>Implemented 2026-08-22: Clock freezes on waiting/stalled/seeking</t>
        </is>
      </c>
    </row>
    <row r="32" ht="62" customHeight="1">
      <c r="A32" s="42" t="inlineStr">
        <is>
          <t>SEQ-PLAY-002</t>
        </is>
      </c>
      <c r="B32" s="42" t="inlineStr">
        <is>
          <t>SEQ-PLAY-002</t>
        </is>
      </c>
      <c r="C32" s="42" t="inlineStr">
        <is>
          <t>Sequence / Playback</t>
        </is>
      </c>
      <c r="D32" s="48" t="inlineStr">
        <is>
          <t>P1</t>
        </is>
      </c>
      <c r="E32" s="48" t="inlineStr">
        <is>
          <t>Yes</t>
        </is>
      </c>
      <c r="F32" s="48" t="inlineStr">
        <is>
          <t>Sequence / Media Engine</t>
        </is>
      </c>
      <c r="G32" s="48" t="inlineStr">
        <is>
          <t>Confirmed architecture; runtime impact high-confidence</t>
        </is>
      </c>
      <c r="H32" s="48" t="inlineStr">
        <is>
          <t>Yes</t>
        </is>
      </c>
      <c r="I32" s="48" t="inlineStr">
        <is>
          <t>No</t>
        </is>
      </c>
      <c r="J32" s="42" t="inlineStr">
        <is>
          <t>Use two alternating video elements or a media buffer, preload the next source, seek it before the seam, and swap only after readiness is acknowledged</t>
        </is>
      </c>
      <c r="K32" s="42" t="inlineStr">
        <is>
          <t>Every cut remounts a single &lt;video&gt; element keyed by clip ID, with no next-clip preload, double buffer, preroll, or readiness gate. Cuts can flash black, show the prior frame, or stall on real 4K/AI-generated media and slow disks.</t>
        </is>
      </c>
      <c r="L32" s="42" t="inlineStr">
        <is>
          <t>Use two alternating video elements or a media buffer, preload the next source, seek it before the seam, and swap only after readiness is acknowledged.</t>
        </is>
      </c>
      <c r="M32" s="42" t="inlineStr">
        <is>
          <t>A 50-cut mixed-codec sequence plays three consecutive passes with zero black frames, zero stale frames, and no seam stall.</t>
        </is>
      </c>
      <c r="N32" s="42" t="inlineStr">
        <is>
          <t>client/src/components/SequenceEditorWorkspace.tsx — program monitor JSX and currentProgramClip key/src handling</t>
        </is>
      </c>
      <c r="O32" s="42" t="inlineStr">
        <is>
          <t>https://github.com/tj1784/Premiere316_AI_Director_Prototype_v2.0.0/blob/17234f7bcc9687d12afa23fbb88c6eff5be7e2a9/client/src/components/SequenceEditorWorkspace.tsx</t>
        </is>
      </c>
      <c r="P32" s="42" t="inlineStr">
        <is>
          <t>Media Engine + Frontend</t>
        </is>
      </c>
      <c r="Q32" s="42" t="inlineStr">
        <is>
          <t>G2 — Playback/import architecture</t>
        </is>
      </c>
      <c r="R32" s="48" t="inlineStr">
        <is>
          <t>XL</t>
        </is>
      </c>
      <c r="S32" s="42" t="str"/>
      <c r="T32" s="42" t="inlineStr">
        <is>
          <t>UAT-PLAY-001</t>
        </is>
      </c>
      <c r="U32" s="48" t="inlineStr">
        <is>
          <t>In Progress</t>
        </is>
      </c>
      <c r="V32" s="48" t="n">
        <v>50</v>
      </c>
      <c r="W32" s="42" t="str"/>
      <c r="X32" s="110" t="n"/>
      <c r="Y32" s="42" t="inlineStr">
        <is>
          <t>Existing 74-item source audit</t>
        </is>
      </c>
      <c r="Z32" s="42" t="inlineStr">
        <is>
          <t>Implemented 2026-08-22: No remount + preload element; not a proven 50-cut dual swap</t>
        </is>
      </c>
    </row>
    <row r="33" ht="62" customHeight="1">
      <c r="A33" s="42" t="inlineStr">
        <is>
          <t>SEQ-PLAY-007</t>
        </is>
      </c>
      <c r="B33" s="42" t="inlineStr">
        <is>
          <t>SEQ-PLAY-007</t>
        </is>
      </c>
      <c r="C33" s="42" t="inlineStr">
        <is>
          <t>Sequence / Audio</t>
        </is>
      </c>
      <c r="D33" s="48" t="inlineStr">
        <is>
          <t>P2</t>
        </is>
      </c>
      <c r="E33" s="48" t="inlineStr">
        <is>
          <t>Conditional</t>
        </is>
      </c>
      <c r="F33" s="48" t="inlineStr">
        <is>
          <t>Sequence / Media Engine</t>
        </is>
      </c>
      <c r="G33" s="48" t="inlineStr">
        <is>
          <t>Confirmed missing control</t>
        </is>
      </c>
      <c r="H33" s="48" t="inlineStr">
        <is>
          <t>Yes</t>
        </is>
      </c>
      <c r="I33" s="48" t="inlineStr">
        <is>
          <t>No</t>
        </is>
      </c>
      <c r="J33" s="42" t="inlineStr">
        <is>
          <t>Add peak/RMS or LUFS-oriented metering and a clipping indicator</t>
        </is>
      </c>
      <c r="K33" s="42" t="inlineStr">
        <is>
          <t>There is no master meter, clip meter, clipping indication, or preview master gain. Users cannot detect overloads or judge loudness before export.</t>
        </is>
      </c>
      <c r="L33" s="42" t="inlineStr">
        <is>
          <t>Add peak/RMS or LUFS-oriented metering and a clipping indicator.</t>
        </is>
      </c>
      <c r="M33" s="42" t="inlineStr">
        <is>
          <t>Positive-gain clipping is visibly identified during preview.</t>
        </is>
      </c>
      <c r="N33" s="42" t="inlineStr">
        <is>
          <t>Sequence editor program/audio UI</t>
        </is>
      </c>
      <c r="O33" s="42" t="inlineStr">
        <is>
          <t>https://github.com/tj1784/Premiere316_AI_Director_Prototype_v2.0.0/commit/17234f7bcc9687d12afa23fbb88c6eff5be7e2a9</t>
        </is>
      </c>
      <c r="P33" s="42" t="inlineStr">
        <is>
          <t>Media Engine</t>
        </is>
      </c>
      <c r="Q33" s="42" t="inlineStr">
        <is>
          <t>G2 — Playback/import architecture</t>
        </is>
      </c>
      <c r="R33" s="48" t="inlineStr">
        <is>
          <t>M</t>
        </is>
      </c>
      <c r="S33" s="42" t="inlineStr">
        <is>
          <t>SEQ-AUD-001</t>
        </is>
      </c>
      <c r="T33" s="42" t="inlineStr">
        <is>
          <t>UAT-PLAY-004</t>
        </is>
      </c>
      <c r="U33" s="48" t="inlineStr">
        <is>
          <t>Not Started</t>
        </is>
      </c>
      <c r="V33" s="48" t="n">
        <v>0</v>
      </c>
      <c r="W33" s="42" t="str"/>
      <c r="X33" s="110" t="n"/>
      <c r="Y33" s="42" t="inlineStr">
        <is>
          <t>Existing 74-item source audit</t>
        </is>
      </c>
      <c r="Z33" s="42" t="str"/>
    </row>
    <row r="34" ht="62" customHeight="1">
      <c r="A34" s="42" t="inlineStr">
        <is>
          <t>IMP-004</t>
        </is>
      </c>
      <c r="B34" s="42" t="inlineStr">
        <is>
          <t>IMP-004</t>
        </is>
      </c>
      <c r="C34" s="42" t="inlineStr">
        <is>
          <t>Sequence / Folder Drop</t>
        </is>
      </c>
      <c r="D34" s="48" t="inlineStr">
        <is>
          <t>P2</t>
        </is>
      </c>
      <c r="E34" s="48" t="inlineStr">
        <is>
          <t>Conditional</t>
        </is>
      </c>
      <c r="F34" s="48" t="inlineStr">
        <is>
          <t>Import / Reliability</t>
        </is>
      </c>
      <c r="G34" s="48" t="inlineStr">
        <is>
          <t>Confirmed feedback gap</t>
        </is>
      </c>
      <c r="H34" s="48" t="inlineStr">
        <is>
          <t>Yes</t>
        </is>
      </c>
      <c r="I34" s="48" t="inlineStr">
        <is>
          <t>No</t>
        </is>
      </c>
      <c r="J34" s="42" t="inlineStr">
        <is>
          <t>Show scanning state immediately with discovered/eligible counts</t>
        </is>
      </c>
      <c r="K34" s="42" t="inlineStr">
        <is>
          <t>Folder traversal can be lengthy, but upload/busy state starts only after traversal completes. A deep folder appears to do nothing after drop.</t>
        </is>
      </c>
      <c r="L34" s="42" t="inlineStr">
        <is>
          <t>Show scanning state immediately with discovered/eligible counts.</t>
        </is>
      </c>
      <c r="M34" s="42" t="inlineStr">
        <is>
          <t>Feedback appears within 100 ms of drop and updates throughout traversal.</t>
        </is>
      </c>
      <c r="N34" s="42" t="inlineStr">
        <is>
          <t>drop traversal flow before importDroppedMedia</t>
        </is>
      </c>
      <c r="O34" s="42" t="inlineStr">
        <is>
          <t>https://github.com/tj1784/Premiere316_AI_Director_Prototype_v2.0.0/commit/17234f7bcc9687d12afa23fbb88c6eff5be7e2a9</t>
        </is>
      </c>
      <c r="P34" s="42" t="inlineStr">
        <is>
          <t>Full Stack</t>
        </is>
      </c>
      <c r="Q34" s="42" t="inlineStr">
        <is>
          <t>G2 — Playback/import architecture</t>
        </is>
      </c>
      <c r="R34" s="48" t="inlineStr">
        <is>
          <t>M</t>
        </is>
      </c>
      <c r="S34" s="42" t="inlineStr">
        <is>
          <t>IMP-001,IMP-003</t>
        </is>
      </c>
      <c r="T34" s="42" t="inlineStr">
        <is>
          <t>UAT-DROP-005</t>
        </is>
      </c>
      <c r="U34" s="48" t="inlineStr">
        <is>
          <t>Done</t>
        </is>
      </c>
      <c r="V34" s="48" t="n">
        <v>100</v>
      </c>
      <c r="W34" s="42" t="str"/>
      <c r="X34" s="110" t="n"/>
      <c r="Y34" s="42" t="inlineStr">
        <is>
          <t>Existing 74-item source audit</t>
        </is>
      </c>
      <c r="Z34" s="42" t="inlineStr">
        <is>
          <t>Implemented 2026-08-22: Scanning state starts immediately on drop</t>
        </is>
      </c>
    </row>
    <row r="35" ht="62" customHeight="1">
      <c r="A35" s="42" t="inlineStr">
        <is>
          <t>IMP-005</t>
        </is>
      </c>
      <c r="B35" s="42" t="inlineStr">
        <is>
          <t>IMP-005</t>
        </is>
      </c>
      <c r="C35" s="42" t="inlineStr">
        <is>
          <t>Sequence / Folder Drop</t>
        </is>
      </c>
      <c r="D35" s="48" t="inlineStr">
        <is>
          <t>P2</t>
        </is>
      </c>
      <c r="E35" s="48" t="inlineStr">
        <is>
          <t>Conditional</t>
        </is>
      </c>
      <c r="F35" s="48" t="inlineStr">
        <is>
          <t>Import / Reliability</t>
        </is>
      </c>
      <c r="G35" s="48" t="inlineStr">
        <is>
          <t>Confirmed missing control</t>
        </is>
      </c>
      <c r="H35" s="48" t="inlineStr">
        <is>
          <t>Yes</t>
        </is>
      </c>
      <c r="I35" s="48" t="inlineStr">
        <is>
          <t>No</t>
        </is>
      </c>
      <c r="J35" s="42" t="inlineStr">
        <is>
          <t>Add bounded concurrency, progress, and cancellation</t>
        </is>
      </c>
      <c r="K35" s="42" t="inlineStr">
        <is>
          <t>Uploads are sequential with no per-file progress, total progress, current filename, pause, or cancel. Large imports feel frozen and cannot be safely interrupted.</t>
        </is>
      </c>
      <c r="L35" s="42" t="inlineStr">
        <is>
          <t>Add bounded concurrency, progress, and cancellation.</t>
        </is>
      </c>
      <c r="M35" s="42" t="inlineStr">
        <is>
          <t>A 100-file import exposes deterministic progress and can cancel without corrupting metadata.</t>
        </is>
      </c>
      <c r="N35" s="42" t="inlineStr">
        <is>
          <t>SequenceEditorWorkspace import loop</t>
        </is>
      </c>
      <c r="O35" s="42" t="inlineStr">
        <is>
          <t>https://github.com/tj1784/Premiere316_AI_Director_Prototype_v2.0.0/commit/17234f7bcc9687d12afa23fbb88c6eff5be7e2a9</t>
        </is>
      </c>
      <c r="P35" s="42" t="inlineStr">
        <is>
          <t>Full Stack</t>
        </is>
      </c>
      <c r="Q35" s="42" t="inlineStr">
        <is>
          <t>G2 — Playback/import architecture</t>
        </is>
      </c>
      <c r="R35" s="48" t="inlineStr">
        <is>
          <t>M</t>
        </is>
      </c>
      <c r="S35" s="42" t="inlineStr">
        <is>
          <t>IMP-003</t>
        </is>
      </c>
      <c r="T35" s="42" t="inlineStr">
        <is>
          <t>UAT-DROP-006,UAT-DROP-020</t>
        </is>
      </c>
      <c r="U35" s="48" t="inlineStr">
        <is>
          <t>Not Started</t>
        </is>
      </c>
      <c r="V35" s="48" t="n">
        <v>0</v>
      </c>
      <c r="W35" s="42" t="str"/>
      <c r="X35" s="110" t="n"/>
      <c r="Y35" s="42" t="inlineStr">
        <is>
          <t>Existing 74-item source audit</t>
        </is>
      </c>
      <c r="Z35" s="42" t="str"/>
    </row>
    <row r="36" ht="62" customHeight="1">
      <c r="A36" s="42" t="inlineStr">
        <is>
          <t>IMP-006</t>
        </is>
      </c>
      <c r="B36" s="42" t="inlineStr">
        <is>
          <t>IMP-006</t>
        </is>
      </c>
      <c r="C36" s="42" t="inlineStr">
        <is>
          <t>Sequence / Folder Drop</t>
        </is>
      </c>
      <c r="D36" s="48" t="inlineStr">
        <is>
          <t>P2</t>
        </is>
      </c>
      <c r="E36" s="48" t="inlineStr">
        <is>
          <t>Conditional</t>
        </is>
      </c>
      <c r="F36" s="48" t="inlineStr">
        <is>
          <t>Import / Reliability</t>
        </is>
      </c>
      <c r="G36" s="48" t="inlineStr">
        <is>
          <t>Confirmed payload-handling defect</t>
        </is>
      </c>
      <c r="H36" s="48" t="inlineStr">
        <is>
          <t>Yes</t>
        </is>
      </c>
      <c r="I36" s="48" t="inlineStr">
        <is>
          <t>No</t>
        </is>
      </c>
      <c r="J36" s="42" t="inlineStr">
        <is>
          <t>Merge and de-duplicate both entry traversal and dataTransfer</t>
        </is>
      </c>
      <c r="K36" s="42" t="inlineStr">
        <is>
          <t>If any DataTransfer item yields a webkit entry, fallback files are not added; mixed payloads can lose non-entry items. Some dragged files disappear from mixed operating-system/browser payloads.</t>
        </is>
      </c>
      <c r="L36" s="42" t="inlineStr">
        <is>
          <t>Merge and de-duplicate both entry traversal and dataTransfer.files.</t>
        </is>
      </c>
      <c r="M36" s="42" t="inlineStr">
        <is>
          <t>Mixed file/folder payload fixtures import every eligible file exactly once.</t>
        </is>
      </c>
      <c r="N36" s="42" t="inlineStr">
        <is>
          <t>SequenceEditorWorkspace drop item/fallback branching</t>
        </is>
      </c>
      <c r="O36" s="42" t="inlineStr">
        <is>
          <t>https://github.com/tj1784/Premiere316_AI_Director_Prototype_v2.0.0/commit/17234f7bcc9687d12afa23fbb88c6eff5be7e2a9</t>
        </is>
      </c>
      <c r="P36" s="42" t="inlineStr">
        <is>
          <t>Full Stack</t>
        </is>
      </c>
      <c r="Q36" s="42" t="inlineStr">
        <is>
          <t>G2 — Playback/import architecture</t>
        </is>
      </c>
      <c r="R36" s="48" t="inlineStr">
        <is>
          <t>M</t>
        </is>
      </c>
      <c r="S36" s="42" t="inlineStr">
        <is>
          <t>IMP-018</t>
        </is>
      </c>
      <c r="T36" s="42" t="inlineStr">
        <is>
          <t>UAT-DROP-007</t>
        </is>
      </c>
      <c r="U36" s="48" t="inlineStr">
        <is>
          <t>Done</t>
        </is>
      </c>
      <c r="V36" s="48" t="n">
        <v>100</v>
      </c>
      <c r="W36" s="42" t="str"/>
      <c r="X36" s="110" t="n"/>
      <c r="Y36" s="42" t="inlineStr">
        <is>
          <t>Existing 74-item source audit</t>
        </is>
      </c>
      <c r="Z36" s="42" t="inlineStr">
        <is>
          <t>Implemented 2026-08-22: Merge entries and files, de-dupe by name/size/mtime</t>
        </is>
      </c>
    </row>
    <row r="37" ht="62" customHeight="1">
      <c r="A37" s="42" t="inlineStr">
        <is>
          <t>IMP-007</t>
        </is>
      </c>
      <c r="B37" s="42" t="inlineStr">
        <is>
          <t>IMP-007</t>
        </is>
      </c>
      <c r="C37" s="42" t="inlineStr">
        <is>
          <t>Sequence / Folder Drop</t>
        </is>
      </c>
      <c r="D37" s="48" t="inlineStr">
        <is>
          <t>P2</t>
        </is>
      </c>
      <c r="E37" s="48" t="inlineStr">
        <is>
          <t>Conditional</t>
        </is>
      </c>
      <c r="F37" s="48" t="inlineStr">
        <is>
          <t>Import / Reliability</t>
        </is>
      </c>
      <c r="G37" s="48" t="inlineStr">
        <is>
          <t>Compatibility risk</t>
        </is>
      </c>
      <c r="H37" s="48" t="inlineStr">
        <is>
          <t>Yes</t>
        </is>
      </c>
      <c r="I37" s="48" t="inlineStr">
        <is>
          <t>No</t>
        </is>
      </c>
      <c r="J37" s="42" t="inlineStr">
        <is>
          <t>Provide feature detection, fallback input picker, and explicit unsupported-browser guidance</t>
        </is>
      </c>
      <c r="K37" s="42" t="inlineStr">
        <is>
          <t>Folder traversal relies on nonstandard webkitGetAsEntry without a tested standards-based fallback. Behavior can differ across Chromium, Firefox, and future browser versions.</t>
        </is>
      </c>
      <c r="L37" s="42" t="inlineStr">
        <is>
          <t>Provide feature detection, fallback input picker, and explicit unsupported-browser guidance.</t>
        </is>
      </c>
      <c r="M37" s="42" t="inlineStr">
        <is>
          <t>Supported-browser matrix has passing folder and multi-file import cases.</t>
        </is>
      </c>
      <c r="N37" s="42" t="inlineStr">
        <is>
          <t>SequenceEditorWorkspace folder traversal API</t>
        </is>
      </c>
      <c r="O37" s="42" t="inlineStr">
        <is>
          <t>https://github.com/tj1784/Premiere316_AI_Director_Prototype_v2.0.0/commit/17234f7bcc9687d12afa23fbb88c6eff5be7e2a9</t>
        </is>
      </c>
      <c r="P37" s="42" t="inlineStr">
        <is>
          <t>Full Stack</t>
        </is>
      </c>
      <c r="Q37" s="42" t="inlineStr">
        <is>
          <t>G2 — Playback/import architecture</t>
        </is>
      </c>
      <c r="R37" s="48" t="inlineStr">
        <is>
          <t>M</t>
        </is>
      </c>
      <c r="S37" s="42" t="inlineStr">
        <is>
          <t>IMP-018</t>
        </is>
      </c>
      <c r="T37" s="42" t="inlineStr">
        <is>
          <t>UAT-DROP-015</t>
        </is>
      </c>
      <c r="U37" s="48" t="inlineStr">
        <is>
          <t>Not Started</t>
        </is>
      </c>
      <c r="V37" s="48" t="n">
        <v>0</v>
      </c>
      <c r="W37" s="42" t="str"/>
      <c r="X37" s="110" t="n"/>
      <c r="Y37" s="42" t="inlineStr">
        <is>
          <t>Existing 74-item source audit</t>
        </is>
      </c>
      <c r="Z37" s="42" t="str"/>
    </row>
    <row r="38" ht="62" customHeight="1">
      <c r="A38" s="42" t="inlineStr">
        <is>
          <t>IMP-009</t>
        </is>
      </c>
      <c r="B38" s="42" t="inlineStr">
        <is>
          <t>IMP-009</t>
        </is>
      </c>
      <c r="C38" s="42" t="inlineStr">
        <is>
          <t>Sequence / Folder Drop</t>
        </is>
      </c>
      <c r="D38" s="48" t="inlineStr">
        <is>
          <t>P2</t>
        </is>
      </c>
      <c r="E38" s="48" t="inlineStr">
        <is>
          <t>Conditional</t>
        </is>
      </c>
      <c r="F38" s="48" t="inlineStr">
        <is>
          <t>Import / Reliability</t>
        </is>
      </c>
      <c r="G38" s="48" t="inlineStr">
        <is>
          <t>Confirmed metadata loss</t>
        </is>
      </c>
      <c r="H38" s="48" t="inlineStr">
        <is>
          <t>Yes</t>
        </is>
      </c>
      <c r="I38" s="48" t="inlineStr">
        <is>
          <t>No</t>
        </is>
      </c>
      <c r="J38" s="42" t="inlineStr">
        <is>
          <t>Preserve normalized relativePath and optionally mirror bins/folders</t>
        </is>
      </c>
      <c r="K38" s="42" t="inlineStr">
        <is>
          <t>Relative folder hierarchy is discarded. Production organization, scene/take grouping, and provenance are lost.</t>
        </is>
      </c>
      <c r="L38" s="42" t="inlineStr">
        <is>
          <t>Preserve normalized relativePath and optionally mirror bins/folders.</t>
        </is>
      </c>
      <c r="M38" s="42" t="inlineStr">
        <is>
          <t>Nested folder structure is recoverable from imported metadata.</t>
        </is>
      </c>
      <c r="N38" s="42" t="inlineStr">
        <is>
          <t>Import payload stores flattened file metadata</t>
        </is>
      </c>
      <c r="O38" s="42" t="inlineStr">
        <is>
          <t>https://github.com/tj1784/Premiere316_AI_Director_Prototype_v2.0.0/commit/17234f7bcc9687d12afa23fbb88c6eff5be7e2a9</t>
        </is>
      </c>
      <c r="P38" s="42" t="inlineStr">
        <is>
          <t>Full Stack</t>
        </is>
      </c>
      <c r="Q38" s="42" t="inlineStr">
        <is>
          <t>G2 — Playback/import architecture</t>
        </is>
      </c>
      <c r="R38" s="48" t="inlineStr">
        <is>
          <t>M</t>
        </is>
      </c>
      <c r="S38" s="42" t="inlineStr">
        <is>
          <t>IMP-003</t>
        </is>
      </c>
      <c r="T38" s="42" t="inlineStr">
        <is>
          <t>UAT-DROP-012</t>
        </is>
      </c>
      <c r="U38" s="48" t="inlineStr">
        <is>
          <t>Not Started</t>
        </is>
      </c>
      <c r="V38" s="48" t="n">
        <v>0</v>
      </c>
      <c r="W38" s="42" t="str"/>
      <c r="X38" s="110" t="n"/>
      <c r="Y38" s="42" t="inlineStr">
        <is>
          <t>Existing 74-item source audit</t>
        </is>
      </c>
      <c r="Z38" s="42" t="str"/>
    </row>
    <row r="39" ht="62" customHeight="1">
      <c r="A39" s="42" t="inlineStr">
        <is>
          <t>IMP-010</t>
        </is>
      </c>
      <c r="B39" s="42" t="inlineStr">
        <is>
          <t>IMP-010</t>
        </is>
      </c>
      <c r="C39" s="42" t="inlineStr">
        <is>
          <t>Sequence / Folder Drop</t>
        </is>
      </c>
      <c r="D39" s="48" t="inlineStr">
        <is>
          <t>P2</t>
        </is>
      </c>
      <c r="E39" s="48" t="inlineStr">
        <is>
          <t>Conditional</t>
        </is>
      </c>
      <c r="F39" s="48" t="inlineStr">
        <is>
          <t>Import / Reliability</t>
        </is>
      </c>
      <c r="G39" s="48" t="inlineStr">
        <is>
          <t>Confirmed missing duplicate policy</t>
        </is>
      </c>
      <c r="H39" s="48" t="inlineStr">
        <is>
          <t>Yes</t>
        </is>
      </c>
      <c r="I39" s="48" t="inlineStr">
        <is>
          <t>No</t>
        </is>
      </c>
      <c r="J39" s="42" t="inlineStr">
        <is>
          <t>Preflight duplicates and offer skip, link existing, or copy</t>
        </is>
      </c>
      <c r="K39" s="42" t="inlineStr">
        <is>
          <t>Repeated drops create new copies without hash/size/path duplicate detection. Disk and bins balloon; users cannot tell which duplicate is canonical.</t>
        </is>
      </c>
      <c r="L39" s="42" t="inlineStr">
        <is>
          <t>Preflight duplicates and offer skip, link existing, or copy.</t>
        </is>
      </c>
      <c r="M39" s="42" t="inlineStr">
        <is>
          <t>Re-dropping an identical folder produces a clear duplicate decision rather than silent copies.</t>
        </is>
      </c>
      <c r="N39" s="42" t="inlineStr">
        <is>
          <t>Import server copy behavior and client messaging</t>
        </is>
      </c>
      <c r="O39" s="42" t="inlineStr">
        <is>
          <t>https://github.com/tj1784/Premiere316_AI_Director_Prototype_v2.0.0/commit/17234f7bcc9687d12afa23fbb88c6eff5be7e2a9</t>
        </is>
      </c>
      <c r="P39" s="42" t="inlineStr">
        <is>
          <t>Full Stack</t>
        </is>
      </c>
      <c r="Q39" s="42" t="inlineStr">
        <is>
          <t>G2 — Playback/import architecture</t>
        </is>
      </c>
      <c r="R39" s="48" t="inlineStr">
        <is>
          <t>M</t>
        </is>
      </c>
      <c r="S39" s="42" t="inlineStr">
        <is>
          <t>IMP-003</t>
        </is>
      </c>
      <c r="T39" s="42" t="inlineStr">
        <is>
          <t>UAT-DROP-008</t>
        </is>
      </c>
      <c r="U39" s="48" t="inlineStr">
        <is>
          <t>Not Started</t>
        </is>
      </c>
      <c r="V39" s="48" t="n">
        <v>0</v>
      </c>
      <c r="W39" s="42" t="str"/>
      <c r="X39" s="110" t="n"/>
      <c r="Y39" s="42" t="inlineStr">
        <is>
          <t>Existing 74-item source audit</t>
        </is>
      </c>
      <c r="Z39" s="42" t="str"/>
    </row>
    <row r="40" ht="62" customHeight="1">
      <c r="A40" s="42" t="inlineStr">
        <is>
          <t>IMP-011</t>
        </is>
      </c>
      <c r="B40" s="42" t="inlineStr">
        <is>
          <t>IMP-011</t>
        </is>
      </c>
      <c r="C40" s="42" t="inlineStr">
        <is>
          <t>Sequence / Folder Drop</t>
        </is>
      </c>
      <c r="D40" s="48" t="inlineStr">
        <is>
          <t>P2</t>
        </is>
      </c>
      <c r="E40" s="48" t="inlineStr">
        <is>
          <t>Conditional</t>
        </is>
      </c>
      <c r="F40" s="48" t="inlineStr">
        <is>
          <t>Import / Reliability</t>
        </is>
      </c>
      <c r="G40" s="48" t="inlineStr">
        <is>
          <t>Confirmed context disruption</t>
        </is>
      </c>
      <c r="H40" s="48" t="inlineStr">
        <is>
          <t>Yes</t>
        </is>
      </c>
      <c r="I40" s="48" t="inlineStr">
        <is>
          <t>No</t>
        </is>
      </c>
      <c r="J40" s="42" t="inlineStr">
        <is>
          <t>Preserve context and offer 'Show imported'</t>
        </is>
      </c>
      <c r="K40" s="42" t="inlineStr">
        <is>
          <t>Import resets media-tab/filter context to All. Users lose their segment/take review context after every drop.</t>
        </is>
      </c>
      <c r="L40" s="42" t="inlineStr">
        <is>
          <t>Preserve context and offer 'Show imported'.</t>
        </is>
      </c>
      <c r="M40" s="42" t="inlineStr">
        <is>
          <t>Import does not change the active filter unless the user chooses to reveal new assets.</t>
        </is>
      </c>
      <c r="N40" s="42" t="inlineStr">
        <is>
          <t>import completion state updates</t>
        </is>
      </c>
      <c r="O40" s="42" t="inlineStr">
        <is>
          <t>https://github.com/tj1784/Premiere316_AI_Director_Prototype_v2.0.0/commit/17234f7bcc9687d12afa23fbb88c6eff5be7e2a9</t>
        </is>
      </c>
      <c r="P40" s="42" t="inlineStr">
        <is>
          <t>Full Stack</t>
        </is>
      </c>
      <c r="Q40" s="42" t="inlineStr">
        <is>
          <t>G2 — Playback/import architecture</t>
        </is>
      </c>
      <c r="R40" s="48" t="inlineStr">
        <is>
          <t>M</t>
        </is>
      </c>
      <c r="S40" s="42" t="str"/>
      <c r="T40" s="42" t="inlineStr">
        <is>
          <t>UAT-DROP-013</t>
        </is>
      </c>
      <c r="U40" s="48" t="inlineStr">
        <is>
          <t>Done</t>
        </is>
      </c>
      <c r="V40" s="48" t="n">
        <v>100</v>
      </c>
      <c r="W40" s="42" t="str"/>
      <c r="X40" s="110" t="n"/>
      <c r="Y40" s="42" t="inlineStr">
        <is>
          <t>Existing 74-item source audit</t>
        </is>
      </c>
      <c r="Z40" s="42" t="inlineStr">
        <is>
          <t>Implemented 2026-08-22: Import no longer resets take filter</t>
        </is>
      </c>
    </row>
    <row r="41" ht="62" customHeight="1">
      <c r="A41" s="42" t="inlineStr">
        <is>
          <t>IMP-013</t>
        </is>
      </c>
      <c r="B41" s="42" t="inlineStr">
        <is>
          <t>IMP-013</t>
        </is>
      </c>
      <c r="C41" s="42" t="inlineStr">
        <is>
          <t>Sequence / Folder Drop</t>
        </is>
      </c>
      <c r="D41" s="48" t="inlineStr">
        <is>
          <t>P2</t>
        </is>
      </c>
      <c r="E41" s="48" t="inlineStr">
        <is>
          <t>Conditional</t>
        </is>
      </c>
      <c r="F41" s="48" t="inlineStr">
        <is>
          <t>Import / Reliability</t>
        </is>
      </c>
      <c r="G41" s="48" t="inlineStr">
        <is>
          <t>High-confidence concurrency risk</t>
        </is>
      </c>
      <c r="H41" s="48" t="inlineStr">
        <is>
          <t>Yes</t>
        </is>
      </c>
      <c r="I41" s="48" t="inlineStr">
        <is>
          <t>No</t>
        </is>
      </c>
      <c r="J41" s="42" t="inlineStr">
        <is>
          <t>Use document revision checks or a serialized/atomic update</t>
        </is>
      </c>
      <c r="K41" s="42" t="inlineStr">
        <is>
          <t>Concurrent import requests update shared document import metadata without an evident revision/lock transaction. Two simultaneous imports can overwrite each other's document metadata.</t>
        </is>
      </c>
      <c r="L41" s="42" t="inlineStr">
        <is>
          <t>Use document revision checks or a serialized/atomic update.</t>
        </is>
      </c>
      <c r="M41" s="42" t="inlineStr">
        <is>
          <t>Parallel imports preserve all entries with no lost updates.</t>
        </is>
      </c>
      <c r="N41" s="42" t="inlineStr">
        <is>
          <t>server import document read/modify/write flow</t>
        </is>
      </c>
      <c r="O41" s="42" t="inlineStr">
        <is>
          <t>https://github.com/tj1784/Premiere316_AI_Director_Prototype_v2.0.0/commit/17234f7bcc9687d12afa23fbb88c6eff5be7e2a9</t>
        </is>
      </c>
      <c r="P41" s="42" t="inlineStr">
        <is>
          <t>Full Stack</t>
        </is>
      </c>
      <c r="Q41" s="42" t="inlineStr">
        <is>
          <t>G2 — Playback/import architecture</t>
        </is>
      </c>
      <c r="R41" s="48" t="inlineStr">
        <is>
          <t>L</t>
        </is>
      </c>
      <c r="S41" s="42" t="inlineStr">
        <is>
          <t>IMP-003</t>
        </is>
      </c>
      <c r="T41" s="42" t="inlineStr">
        <is>
          <t>UAT-DROP-010</t>
        </is>
      </c>
      <c r="U41" s="48" t="inlineStr">
        <is>
          <t>Not Started</t>
        </is>
      </c>
      <c r="V41" s="48" t="n">
        <v>0</v>
      </c>
      <c r="W41" s="42" t="str"/>
      <c r="X41" s="110" t="n"/>
      <c r="Y41" s="42" t="inlineStr">
        <is>
          <t>Existing 74-item source audit</t>
        </is>
      </c>
      <c r="Z41" s="42" t="str"/>
    </row>
    <row r="42" ht="62" customHeight="1">
      <c r="A42" s="42" t="inlineStr">
        <is>
          <t>IMP-014</t>
        </is>
      </c>
      <c r="B42" s="42" t="inlineStr">
        <is>
          <t>IMP-014</t>
        </is>
      </c>
      <c r="C42" s="42" t="inlineStr">
        <is>
          <t>Sequence / Folder Drop</t>
        </is>
      </c>
      <c r="D42" s="48" t="inlineStr">
        <is>
          <t>P2</t>
        </is>
      </c>
      <c r="E42" s="48" t="inlineStr">
        <is>
          <t>Conditional</t>
        </is>
      </c>
      <c r="F42" s="48" t="inlineStr">
        <is>
          <t>Import / Reliability</t>
        </is>
      </c>
      <c r="G42" s="48" t="inlineStr">
        <is>
          <t>High-confidence collision risk</t>
        </is>
      </c>
      <c r="H42" s="48" t="inlineStr">
        <is>
          <t>Yes</t>
        </is>
      </c>
      <c r="I42" s="48" t="inlineStr">
        <is>
          <t>No</t>
        </is>
      </c>
      <c r="J42" s="42" t="inlineStr">
        <is>
          <t>Use UUID/content hash or atomic exclusive creation for every media class</t>
        </is>
      </c>
      <c r="K42" s="42" t="inlineStr">
        <is>
          <t>Audio destination naming uses timestamp-based naming without the same collision loop used for video. Same-name audio uploads in a narrow time window can overwrite.</t>
        </is>
      </c>
      <c r="L42" s="42" t="inlineStr">
        <is>
          <t>Use UUID/content hash or atomic exclusive creation for every media class.</t>
        </is>
      </c>
      <c r="M42" s="42" t="inlineStr">
        <is>
          <t>1,000 concurrent same-name audio imports yield 1,000 distinct files.</t>
        </is>
      </c>
      <c r="N42" s="42" t="inlineStr">
        <is>
          <t>server import naming logic</t>
        </is>
      </c>
      <c r="O42" s="42" t="inlineStr">
        <is>
          <t>https://github.com/tj1784/Premiere316_AI_Director_Prototype_v2.0.0/commit/17234f7bcc9687d12afa23fbb88c6eff5be7e2a9</t>
        </is>
      </c>
      <c r="P42" s="42" t="inlineStr">
        <is>
          <t>Full Stack</t>
        </is>
      </c>
      <c r="Q42" s="42" t="inlineStr">
        <is>
          <t>G2 — Playback/import architecture</t>
        </is>
      </c>
      <c r="R42" s="48" t="inlineStr">
        <is>
          <t>M</t>
        </is>
      </c>
      <c r="S42" s="42" t="inlineStr">
        <is>
          <t>IMP-003</t>
        </is>
      </c>
      <c r="T42" s="42" t="inlineStr">
        <is>
          <t>UAT-DROP-009</t>
        </is>
      </c>
      <c r="U42" s="48" t="inlineStr">
        <is>
          <t>Not Started</t>
        </is>
      </c>
      <c r="V42" s="48" t="n">
        <v>0</v>
      </c>
      <c r="W42" s="42" t="str"/>
      <c r="X42" s="110" t="n"/>
      <c r="Y42" s="42" t="inlineStr">
        <is>
          <t>Existing 74-item source audit</t>
        </is>
      </c>
      <c r="Z42" s="42" t="str"/>
    </row>
    <row r="43" ht="62" customHeight="1">
      <c r="A43" s="42" t="inlineStr">
        <is>
          <t>IMP-020</t>
        </is>
      </c>
      <c r="B43" s="42" t="inlineStr">
        <is>
          <t>IMP-020</t>
        </is>
      </c>
      <c r="C43" s="42" t="inlineStr">
        <is>
          <t>Sequence / Folder Drop</t>
        </is>
      </c>
      <c r="D43" s="48" t="inlineStr">
        <is>
          <t>P2</t>
        </is>
      </c>
      <c r="E43" s="48" t="inlineStr">
        <is>
          <t>Conditional</t>
        </is>
      </c>
      <c r="F43" s="48" t="inlineStr">
        <is>
          <t>Reliability</t>
        </is>
      </c>
      <c r="G43" s="48" t="inlineStr">
        <is>
          <t>Confirmed missing preflight control</t>
        </is>
      </c>
      <c r="H43" s="48" t="inlineStr">
        <is>
          <t>Yes</t>
        </is>
      </c>
      <c r="I43" s="48" t="inlineStr">
        <is>
          <t>Yes</t>
        </is>
      </c>
      <c r="J43" s="42" t="inlineStr">
        <is>
          <t>Add a scan/preflight endpoint and UI that reports eligible, rejected, duplicate, count, total bytes, deepest path, and quota impact before committing large jobs</t>
        </is>
      </c>
      <c r="K43" s="42" t="inlineStr">
        <is>
          <t>The import flow has no aggregate count, total-byte, directory-depth, filename/path-length, or project-quota preflight before uploads begin. Accidental huge drops can consume time, memory, and disk before the user understands the operation.</t>
        </is>
      </c>
      <c r="L43" s="42" t="inlineStr">
        <is>
          <t>Add a scan/preflight endpoint and UI that reports eligible, rejected, duplicate, count, total bytes, deepest path, and quota impact before committing large jobs.</t>
        </is>
      </c>
      <c r="M43" s="42" t="inlineStr">
        <is>
          <t>Threshold-crossing drops require an explicit confirmation and cannot exceed configured per-job or per-project limits.</t>
        </is>
      </c>
      <c r="N43" s="42" t="inlineStr">
        <is>
          <t>client/src/components/SequenceEditorWorkspace.tsx and server import routes — no preflight contract</t>
        </is>
      </c>
      <c r="O43" s="42" t="inlineStr">
        <is>
          <t>https://github.com/tj1784/Premiere316_AI_Director_Prototype_v2.0.0/blob/17234f7bcc9687d12afa23fbb88c6eff5be7e2a9/client/src/components/SequenceEditorWorkspace.tsx</t>
        </is>
      </c>
      <c r="P43" s="42" t="inlineStr">
        <is>
          <t>Full Stack</t>
        </is>
      </c>
      <c r="Q43" s="42" t="inlineStr">
        <is>
          <t>G2 — Playback/import architecture</t>
        </is>
      </c>
      <c r="R43" s="48" t="inlineStr">
        <is>
          <t>L</t>
        </is>
      </c>
      <c r="S43" s="42" t="inlineStr">
        <is>
          <t>IMP-003</t>
        </is>
      </c>
      <c r="T43" s="42" t="inlineStr">
        <is>
          <t>UAT-DROP-024</t>
        </is>
      </c>
      <c r="U43" s="48" t="inlineStr">
        <is>
          <t>Not Started</t>
        </is>
      </c>
      <c r="V43" s="48" t="n">
        <v>0</v>
      </c>
      <c r="W43" s="42" t="str"/>
      <c r="X43" s="110" t="n"/>
      <c r="Y43" s="42" t="inlineStr">
        <is>
          <t>User QA plan</t>
        </is>
      </c>
      <c r="Z43" s="42" t="str"/>
    </row>
    <row r="44" ht="62" customHeight="1">
      <c r="A44" s="42" t="inlineStr">
        <is>
          <t>IMP-024</t>
        </is>
      </c>
      <c r="B44" s="42" t="inlineStr">
        <is>
          <t>IMP-024</t>
        </is>
      </c>
      <c r="C44" s="42" t="inlineStr">
        <is>
          <t>Sequence / Folder Drop</t>
        </is>
      </c>
      <c r="D44" s="48" t="inlineStr">
        <is>
          <t>P2</t>
        </is>
      </c>
      <c r="E44" s="48" t="inlineStr">
        <is>
          <t>Conditional</t>
        </is>
      </c>
      <c r="F44" s="48" t="inlineStr">
        <is>
          <t>Reliability / Test</t>
        </is>
      </c>
      <c r="G44" s="48" t="inlineStr">
        <is>
          <t>Validation/test gap</t>
        </is>
      </c>
      <c r="H44" s="48" t="inlineStr">
        <is>
          <t>Yes</t>
        </is>
      </c>
      <c r="I44" s="48" t="inlineStr">
        <is>
          <t>Yes</t>
        </is>
      </c>
      <c r="J44" s="42" t="inlineStr">
        <is>
          <t>Define supported traversal semantics, skip or reject unsafe entries deterministically, cap depth/path length, and include every omission in the import report</t>
        </is>
      </c>
      <c r="K44" s="42" t="inlineStr">
        <is>
          <t>Empty folders, hidden/system files, unreadable subfolders, symbolic links, circular references, and extreme path lengths have no declared product policy or regression coverage. Cross-OS folder trees can hang, omit content, or generate unexplained partial imports.</t>
        </is>
      </c>
      <c r="L44" s="42" t="inlineStr">
        <is>
          <t>Define supported traversal semantics, skip or reject unsafe entries deterministically, cap depth/path length, and include every omission in the import report.</t>
        </is>
      </c>
      <c r="M44" s="42" t="inlineStr">
        <is>
          <t>All edge fixtures finish without infinite traversal; skipped entries are counted and explained; no path escapes the selected tree or project root.</t>
        </is>
      </c>
      <c r="N44" s="42" t="inlineStr">
        <is>
          <t>Folder traversal implementation and current test inventory</t>
        </is>
      </c>
      <c r="O44" s="42" t="inlineStr">
        <is>
          <t>https://github.com/tj1784/Premiere316_AI_Director_Prototype_v2.0.0/commit/17234f7bcc9687d12afa23fbb88c6eff5be7e2a9</t>
        </is>
      </c>
      <c r="P44" s="42" t="inlineStr">
        <is>
          <t>Full Stack + QA</t>
        </is>
      </c>
      <c r="Q44" s="42" t="inlineStr">
        <is>
          <t>G2 — Playback/import architecture</t>
        </is>
      </c>
      <c r="R44" s="48" t="inlineStr">
        <is>
          <t>L</t>
        </is>
      </c>
      <c r="S44" s="42" t="str"/>
      <c r="T44" s="42" t="inlineStr">
        <is>
          <t>UAT-DROP-023</t>
        </is>
      </c>
      <c r="U44" s="48" t="inlineStr">
        <is>
          <t>Not Started</t>
        </is>
      </c>
      <c r="V44" s="48" t="n">
        <v>0</v>
      </c>
      <c r="W44" s="42" t="str"/>
      <c r="X44" s="110" t="n"/>
      <c r="Y44" s="42" t="inlineStr">
        <is>
          <t>User QA plan</t>
        </is>
      </c>
      <c r="Z44" s="42" t="str"/>
    </row>
    <row r="45" ht="62" customHeight="1">
      <c r="A45" s="42" t="inlineStr">
        <is>
          <t>IMP-025</t>
        </is>
      </c>
      <c r="B45" s="42" t="inlineStr">
        <is>
          <t>IMP-025</t>
        </is>
      </c>
      <c r="C45" s="42" t="inlineStr">
        <is>
          <t>Sequence / Folder Drop</t>
        </is>
      </c>
      <c r="D45" s="48" t="inlineStr">
        <is>
          <t>P2</t>
        </is>
      </c>
      <c r="E45" s="48" t="inlineStr">
        <is>
          <t>Conditional</t>
        </is>
      </c>
      <c r="F45" s="48" t="inlineStr">
        <is>
          <t>Architecture</t>
        </is>
      </c>
      <c r="G45" s="48" t="inlineStr">
        <is>
          <t>Architecture/recovery gap</t>
        </is>
      </c>
      <c r="H45" s="48" t="inlineStr">
        <is>
          <t>Yes</t>
        </is>
      </c>
      <c r="I45" s="48" t="inlineStr">
        <is>
          <t>Yes</t>
        </is>
      </c>
      <c r="J45" s="42" t="inlineStr">
        <is>
          <t>Persist import jobs with stable IDs, stage/terminal states, progress reconciliation, and safe retry/resume semantics</t>
        </is>
      </c>
      <c r="K45" s="42" t="inlineStr">
        <is>
          <t>Folder imports are not modeled as durable resumable jobs that survive refresh or application restart. A browser refresh, app restart, or transient service failure can leave users unable to reconcile what completed and what did not.</t>
        </is>
      </c>
      <c r="L45" s="42" t="inlineStr">
        <is>
          <t>Persist import jobs with stable IDs, stage/terminal states, progress reconciliation, and safe retry/resume semantics.</t>
        </is>
      </c>
      <c r="M45" s="42" t="inlineStr">
        <is>
          <t>Refreshing or restarting during a large import restores the same job, exact per-file results, and valid retry/cancel controls.</t>
        </is>
      </c>
      <c r="N45" s="42" t="inlineStr">
        <is>
          <t>Current client-local import loop and per-request server registration</t>
        </is>
      </c>
      <c r="O45" s="42" t="inlineStr">
        <is>
          <t>https://github.com/tj1784/Premiere316_AI_Director_Prototype_v2.0.0/commit/17234f7bcc9687d12afa23fbb88c6eff5be7e2a9</t>
        </is>
      </c>
      <c r="P45" s="42" t="inlineStr">
        <is>
          <t>Backend + Frontend</t>
        </is>
      </c>
      <c r="Q45" s="42" t="inlineStr">
        <is>
          <t>G2 — Playback/import architecture</t>
        </is>
      </c>
      <c r="R45" s="48" t="inlineStr">
        <is>
          <t>XL</t>
        </is>
      </c>
      <c r="S45" s="42" t="inlineStr">
        <is>
          <t>IMP-003,IMP-005,IMP-013</t>
        </is>
      </c>
      <c r="T45" s="42" t="inlineStr">
        <is>
          <t>UAT-DROP-028</t>
        </is>
      </c>
      <c r="U45" s="48" t="inlineStr">
        <is>
          <t>Not Started</t>
        </is>
      </c>
      <c r="V45" s="48" t="n">
        <v>0</v>
      </c>
      <c r="W45" s="42" t="str"/>
      <c r="X45" s="110" t="n"/>
      <c r="Y45" s="42" t="inlineStr">
        <is>
          <t>User QA plan</t>
        </is>
      </c>
      <c r="Z45" s="42" t="str"/>
    </row>
    <row r="46" ht="62" customHeight="1">
      <c r="A46" s="42" t="inlineStr">
        <is>
          <t>IMP-021</t>
        </is>
      </c>
      <c r="B46" s="42" t="inlineStr">
        <is>
          <t>IMP-021</t>
        </is>
      </c>
      <c r="C46" s="42" t="inlineStr">
        <is>
          <t>Sequence / Folder Drop / Security</t>
        </is>
      </c>
      <c r="D46" s="48" t="inlineStr">
        <is>
          <t>P2</t>
        </is>
      </c>
      <c r="E46" s="48" t="inlineStr">
        <is>
          <t>Conditional</t>
        </is>
      </c>
      <c r="F46" s="48" t="inlineStr">
        <is>
          <t>Security / Reliability</t>
        </is>
      </c>
      <c r="G46" s="48" t="inlineStr">
        <is>
          <t>Confirmed validation gap</t>
        </is>
      </c>
      <c r="H46" s="48" t="inlineStr">
        <is>
          <t>Yes</t>
        </is>
      </c>
      <c r="I46" s="48" t="inlineStr">
        <is>
          <t>Yes</t>
        </is>
      </c>
      <c r="J46" s="42" t="inlineStr">
        <is>
          <t>Validate content type and media signature server-side, reject mismatches before permanent registration, and log the original name plus detected type</t>
        </is>
      </c>
      <c r="K46" s="42" t="inlineStr">
        <is>
          <t>Media acceptance is driven primarily by filename extension; no explicit content-signature/MIME validation is present before probing and storage. Renamed or malformed files can enter expensive decoders, create confusing failures, or broaden the attack surface of local media tooling.</t>
        </is>
      </c>
      <c r="L46" s="42" t="inlineStr">
        <is>
          <t>Validate content type and media signature server-side, reject mismatches before permanent registration, and log the original name plus detected type.</t>
        </is>
      </c>
      <c r="M46" s="42" t="inlineStr">
        <is>
          <t>Files whose extension and detected content disagree are rejected safely with a precise reason; valid fixtures for every supported type still import.</t>
        </is>
      </c>
      <c r="N46" s="42" t="inlineStr">
        <is>
          <t>client extension filters; server/sequence-editor.js import extension checks</t>
        </is>
      </c>
      <c r="O46" s="42" t="inlineStr">
        <is>
          <t>https://github.com/tj1784/Premiere316_AI_Director_Prototype_v2.0.0/blob/17234f7bcc9687d12afa23fbb88c6eff5be7e2a9/server/sequence-editor.js</t>
        </is>
      </c>
      <c r="P46" s="42" t="inlineStr">
        <is>
          <t>Backend + Security</t>
        </is>
      </c>
      <c r="Q46" s="42" t="inlineStr">
        <is>
          <t>G2 — Playback/import architecture</t>
        </is>
      </c>
      <c r="R46" s="48" t="inlineStr">
        <is>
          <t>M</t>
        </is>
      </c>
      <c r="S46" s="42" t="str"/>
      <c r="T46" s="42" t="inlineStr">
        <is>
          <t>UAT-DROP-025</t>
        </is>
      </c>
      <c r="U46" s="48" t="inlineStr">
        <is>
          <t>Not Started</t>
        </is>
      </c>
      <c r="V46" s="48" t="n">
        <v>0</v>
      </c>
      <c r="W46" s="42" t="str"/>
      <c r="X46" s="110" t="n"/>
      <c r="Y46" s="42" t="inlineStr">
        <is>
          <t>User QA plan</t>
        </is>
      </c>
      <c r="Z46" s="42" t="str"/>
    </row>
    <row r="47" ht="62" customHeight="1">
      <c r="A47" s="42" t="inlineStr">
        <is>
          <t>SEQ-PROBE-001</t>
        </is>
      </c>
      <c r="B47" s="42" t="inlineStr">
        <is>
          <t>SEQ-PROBE-001</t>
        </is>
      </c>
      <c r="C47" s="42" t="inlineStr">
        <is>
          <t>Sequence / Media Probe</t>
        </is>
      </c>
      <c r="D47" s="48" t="inlineStr">
        <is>
          <t>P2</t>
        </is>
      </c>
      <c r="E47" s="48" t="inlineStr">
        <is>
          <t>Conditional</t>
        </is>
      </c>
      <c r="F47" s="48" t="inlineStr">
        <is>
          <t>Sequence / Media Engine</t>
        </is>
      </c>
      <c r="G47" s="48" t="inlineStr">
        <is>
          <t>Confirmed concurrency defect</t>
        </is>
      </c>
      <c r="H47" s="48" t="inlineStr">
        <is>
          <t>Yes</t>
        </is>
      </c>
      <c r="I47" s="48" t="inlineStr">
        <is>
          <t>No</t>
        </is>
      </c>
      <c r="J47" s="42" t="inlineStr">
        <is>
          <t>Track a set/count of active probes and aggregate result state</t>
        </is>
      </c>
      <c r="K47" s="42" t="inlineStr">
        <is>
          <t>Retry-all starts multiple probes while sharing one global probing boolean; the first completion can clear busy state while others remain active. The UI can enable conflicting actions and falsely appear finished.</t>
        </is>
      </c>
      <c r="L47" s="42" t="inlineStr">
        <is>
          <t>Track a set/count of active probes and aggregate result state.</t>
        </is>
      </c>
      <c r="M47" s="42" t="inlineStr">
        <is>
          <t>Busy state remains true until the final concurrent probe settles.</t>
        </is>
      </c>
      <c r="N47" s="42" t="inlineStr">
        <is>
          <t>SequenceEditorWorkspace retry-all/probeMedia state</t>
        </is>
      </c>
      <c r="O47" s="42" t="inlineStr">
        <is>
          <t>https://github.com/tj1784/Premiere316_AI_Director_Prototype_v2.0.0/commit/17234f7bcc9687d12afa23fbb88c6eff5be7e2a9</t>
        </is>
      </c>
      <c r="P47" s="42" t="inlineStr">
        <is>
          <t>Full Stack</t>
        </is>
      </c>
      <c r="Q47" s="42" t="inlineStr">
        <is>
          <t>G2 — Playback/import architecture</t>
        </is>
      </c>
      <c r="R47" s="48" t="inlineStr">
        <is>
          <t>M</t>
        </is>
      </c>
      <c r="S47" s="42" t="str"/>
      <c r="T47" s="42" t="inlineStr">
        <is>
          <t>UAT-TAKE-008</t>
        </is>
      </c>
      <c r="U47" s="48" t="inlineStr">
        <is>
          <t>Not Started</t>
        </is>
      </c>
      <c r="V47" s="48" t="n">
        <v>0</v>
      </c>
      <c r="W47" s="42" t="str"/>
      <c r="X47" s="110" t="n"/>
      <c r="Y47" s="42" t="inlineStr">
        <is>
          <t>Existing 74-item source audit</t>
        </is>
      </c>
      <c r="Z47" s="42" t="str"/>
    </row>
    <row r="48" ht="62" customHeight="1">
      <c r="A48" s="42" t="inlineStr">
        <is>
          <t>SEQ-PROBE-002</t>
        </is>
      </c>
      <c r="B48" s="42" t="inlineStr">
        <is>
          <t>SEQ-PROBE-002</t>
        </is>
      </c>
      <c r="C48" s="42" t="inlineStr">
        <is>
          <t>Sequence / Media Probe</t>
        </is>
      </c>
      <c r="D48" s="48" t="inlineStr">
        <is>
          <t>P2</t>
        </is>
      </c>
      <c r="E48" s="48" t="inlineStr">
        <is>
          <t>Conditional</t>
        </is>
      </c>
      <c r="F48" s="48" t="inlineStr">
        <is>
          <t>Sequence / Media Engine</t>
        </is>
      </c>
      <c r="G48" s="48" t="inlineStr">
        <is>
          <t>Confirmed retry-state weakness</t>
        </is>
      </c>
      <c r="H48" s="48" t="inlineStr">
        <is>
          <t>Yes</t>
        </is>
      </c>
      <c r="I48" s="48" t="inlineStr">
        <is>
          <t>No</t>
        </is>
      </c>
      <c r="J48" s="42" t="inlineStr">
        <is>
          <t>Use bounded retry/backoff and expose failure state</t>
        </is>
      </c>
      <c r="K48" s="42" t="inlineStr">
        <is>
          <t>Failed auto-probes are retained in a ref and are not automatically retried during the same mount. Transient probe failures remain stale until manual intervention or remount.</t>
        </is>
      </c>
      <c r="L48" s="42" t="inlineStr">
        <is>
          <t>Use bounded retry/backoff and expose failure state.</t>
        </is>
      </c>
      <c r="M48" s="42" t="inlineStr">
        <is>
          <t>A transient first failure retries deterministically and settles visibly.</t>
        </is>
      </c>
      <c r="N48" s="42" t="inlineStr">
        <is>
          <t>SequenceEditorWorkspace auto-probe ref logic</t>
        </is>
      </c>
      <c r="O48" s="42" t="inlineStr">
        <is>
          <t>https://github.com/tj1784/Premiere316_AI_Director_Prototype_v2.0.0/commit/17234f7bcc9687d12afa23fbb88c6eff5be7e2a9</t>
        </is>
      </c>
      <c r="P48" s="42" t="inlineStr">
        <is>
          <t>Full Stack</t>
        </is>
      </c>
      <c r="Q48" s="42" t="inlineStr">
        <is>
          <t>G2 — Playback/import architecture</t>
        </is>
      </c>
      <c r="R48" s="48" t="inlineStr">
        <is>
          <t>M</t>
        </is>
      </c>
      <c r="S48" s="42" t="str"/>
      <c r="T48" s="42" t="inlineStr">
        <is>
          <t>UAT-PLAY-007</t>
        </is>
      </c>
      <c r="U48" s="48" t="inlineStr">
        <is>
          <t>Not Started</t>
        </is>
      </c>
      <c r="V48" s="48" t="n">
        <v>0</v>
      </c>
      <c r="W48" s="42" t="str"/>
      <c r="X48" s="110" t="n"/>
      <c r="Y48" s="42" t="inlineStr">
        <is>
          <t>Existing 74-item source audit</t>
        </is>
      </c>
      <c r="Z48" s="42" t="str"/>
    </row>
    <row r="49" ht="62" customHeight="1">
      <c r="A49" s="42" t="inlineStr">
        <is>
          <t>SEQ-PLAY-003</t>
        </is>
      </c>
      <c r="B49" s="42" t="inlineStr">
        <is>
          <t>SEQ-PLAY-003</t>
        </is>
      </c>
      <c r="C49" s="42" t="inlineStr">
        <is>
          <t>Sequence / Playback</t>
        </is>
      </c>
      <c r="D49" s="48" t="inlineStr">
        <is>
          <t>P2</t>
        </is>
      </c>
      <c r="E49" s="48" t="inlineStr">
        <is>
          <t>Conditional</t>
        </is>
      </c>
      <c r="F49" s="48" t="inlineStr">
        <is>
          <t>Sequence / Media Engine</t>
        </is>
      </c>
      <c r="G49" s="48" t="inlineStr">
        <is>
          <t>Confirmed missing state</t>
        </is>
      </c>
      <c r="H49" s="48" t="inlineStr">
        <is>
          <t>Yes</t>
        </is>
      </c>
      <c r="I49" s="48" t="inlineStr">
        <is>
          <t>No</t>
        </is>
      </c>
      <c r="J49" s="42" t="inlineStr">
        <is>
          <t>Add a clear state overlay and retry/relink action</t>
        </is>
      </c>
      <c r="K49" s="42" t="inlineStr">
        <is>
          <t>No visible buffering, waiting, stalled, seeking, or decode-error state exists in the program monitor. Users cannot distinguish a paused transport, a broken source, and a temporary media stall.</t>
        </is>
      </c>
      <c r="L49" s="42" t="inlineStr">
        <is>
          <t>Add a clear state overlay and retry/relink action.</t>
        </is>
      </c>
      <c r="M49" s="42" t="inlineStr">
        <is>
          <t>Each media state has distinct text/icon treatment and screen-reader announcement.</t>
        </is>
      </c>
      <c r="N49" s="42" t="inlineStr">
        <is>
          <t>SequenceEditorWorkspace program monitor event/state handling</t>
        </is>
      </c>
      <c r="O49" s="42" t="inlineStr">
        <is>
          <t>https://github.com/tj1784/Premiere316_AI_Director_Prototype_v2.0.0/commit/17234f7bcc9687d12afa23fbb88c6eff5be7e2a9</t>
        </is>
      </c>
      <c r="P49" s="42" t="inlineStr">
        <is>
          <t>Media Engine + Frontend</t>
        </is>
      </c>
      <c r="Q49" s="42" t="inlineStr">
        <is>
          <t>G2 — Playback/import architecture</t>
        </is>
      </c>
      <c r="R49" s="48" t="inlineStr">
        <is>
          <t>M</t>
        </is>
      </c>
      <c r="S49" s="42" t="inlineStr">
        <is>
          <t>SEQ-PLAY-001</t>
        </is>
      </c>
      <c r="T49" s="42" t="inlineStr">
        <is>
          <t>UAT-PLAY-002,UAT-PLAY-007,UAT-PLAY-008</t>
        </is>
      </c>
      <c r="U49" s="48" t="inlineStr">
        <is>
          <t>Done</t>
        </is>
      </c>
      <c r="V49" s="48" t="n">
        <v>100</v>
      </c>
      <c r="W49" s="42" t="str"/>
      <c r="X49" s="110" t="n"/>
      <c r="Y49" s="42" t="inlineStr">
        <is>
          <t>Existing 74-item source audit</t>
        </is>
      </c>
      <c r="Z49" s="42" t="inlineStr">
        <is>
          <t>Implemented 2026-08-22: Buffering/seeking/stalled overlay</t>
        </is>
      </c>
    </row>
    <row r="50" ht="62" customHeight="1">
      <c r="A50" s="42" t="inlineStr">
        <is>
          <t>SEQ-PLAY-004</t>
        </is>
      </c>
      <c r="B50" s="42" t="inlineStr">
        <is>
          <t>SEQ-PLAY-004</t>
        </is>
      </c>
      <c r="C50" s="42" t="inlineStr">
        <is>
          <t>Sequence / Playback</t>
        </is>
      </c>
      <c r="D50" s="48" t="inlineStr">
        <is>
          <t>P2</t>
        </is>
      </c>
      <c r="E50" s="48" t="inlineStr">
        <is>
          <t>Conditional</t>
        </is>
      </c>
      <c r="F50" s="48" t="inlineStr">
        <is>
          <t>Sequence / Media Engine</t>
        </is>
      </c>
      <c r="G50" s="48" t="inlineStr">
        <is>
          <t>Confirmed error-handling defect</t>
        </is>
      </c>
      <c r="H50" s="48" t="inlineStr">
        <is>
          <t>Yes</t>
        </is>
      </c>
      <c r="I50" s="48" t="inlineStr">
        <is>
          <t>No</t>
        </is>
      </c>
      <c r="J50" s="42" t="inlineStr">
        <is>
          <t>Surface actionable errors with source/track context</t>
        </is>
      </c>
      <c r="K50" s="42" t="inlineStr">
        <is>
          <t>HTMLMediaElement.play() rejections and auxiliary-audio playback errors are swallowed or reduced to silently stopping playback. Autoplay/device/codec errors appear as random transport failure.</t>
        </is>
      </c>
      <c r="L50" s="42" t="inlineStr">
        <is>
          <t>Surface actionable errors with source/track context.</t>
        </is>
      </c>
      <c r="M50" s="42" t="inlineStr">
        <is>
          <t>A forced play rejection produces a persistent error and recovery path.</t>
        </is>
      </c>
      <c r="N50" s="42" t="inlineStr">
        <is>
          <t>SequenceEditorWorkspace play().catch handlers</t>
        </is>
      </c>
      <c r="O50" s="42" t="inlineStr">
        <is>
          <t>https://github.com/tj1784/Premiere316_AI_Director_Prototype_v2.0.0/commit/17234f7bcc9687d12afa23fbb88c6eff5be7e2a9</t>
        </is>
      </c>
      <c r="P50" s="42" t="inlineStr">
        <is>
          <t>Media Engine + Frontend</t>
        </is>
      </c>
      <c r="Q50" s="42" t="inlineStr">
        <is>
          <t>G2 — Playback/import architecture</t>
        </is>
      </c>
      <c r="R50" s="48" t="inlineStr">
        <is>
          <t>M</t>
        </is>
      </c>
      <c r="S50" s="42" t="inlineStr">
        <is>
          <t>SEQ-PLAY-001</t>
        </is>
      </c>
      <c r="T50" s="42" t="inlineStr">
        <is>
          <t>UAT-PLAY-006</t>
        </is>
      </c>
      <c r="U50" s="48" t="inlineStr">
        <is>
          <t>Done</t>
        </is>
      </c>
      <c r="V50" s="48" t="n">
        <v>100</v>
      </c>
      <c r="W50" s="42" t="str"/>
      <c r="X50" s="110" t="n"/>
      <c r="Y50" s="42" t="inlineStr">
        <is>
          <t>Existing 74-item source audit</t>
        </is>
      </c>
      <c r="Z50" s="42" t="inlineStr">
        <is>
          <t>Implemented 2026-08-22: play() rejection is visible</t>
        </is>
      </c>
    </row>
    <row r="51" ht="62" customHeight="1">
      <c r="A51" s="42" t="inlineStr">
        <is>
          <t>SEQ-PLAY-005</t>
        </is>
      </c>
      <c r="B51" s="42" t="inlineStr">
        <is>
          <t>SEQ-PLAY-005</t>
        </is>
      </c>
      <c r="C51" s="42" t="inlineStr">
        <is>
          <t>Sequence / Playback</t>
        </is>
      </c>
      <c r="D51" s="48" t="inlineStr">
        <is>
          <t>P2</t>
        </is>
      </c>
      <c r="E51" s="48" t="inlineStr">
        <is>
          <t>Conditional</t>
        </is>
      </c>
      <c r="F51" s="48" t="inlineStr">
        <is>
          <t>Sequence / Media Engine</t>
        </is>
      </c>
      <c r="G51" s="48" t="inlineStr">
        <is>
          <t>High-confidence synchronization risk</t>
        </is>
      </c>
      <c r="H51" s="48" t="inlineStr">
        <is>
          <t>Yes</t>
        </is>
      </c>
      <c r="I51" s="48" t="inlineStr">
        <is>
          <t>No</t>
        </is>
      </c>
      <c r="J51" s="42" t="inlineStr">
        <is>
          <t>Use one master audio clock and schedule sources against it</t>
        </is>
      </c>
      <c r="K51" s="42" t="inlineStr">
        <is>
          <t>Program video and auxiliary audio use separate HTMLMediaElement clocks with relatively loose correction thresholds. Dialogue and effects can audibly drift before correction; corrections can be discontinuous.</t>
        </is>
      </c>
      <c r="L51" s="42" t="inlineStr">
        <is>
          <t>Use one master audio clock and schedule sources against it.</t>
        </is>
      </c>
      <c r="M51" s="42" t="inlineStr">
        <is>
          <t>A 10-minute mixed timeline remains within 20 ms A/V drift.</t>
        </is>
      </c>
      <c r="N51" s="42" t="inlineStr">
        <is>
          <t>SequenceEditorWorkspace media synchronization thresholds</t>
        </is>
      </c>
      <c r="O51" s="42" t="inlineStr">
        <is>
          <t>https://github.com/tj1784/Premiere316_AI_Director_Prototype_v2.0.0/commit/17234f7bcc9687d12afa23fbb88c6eff5be7e2a9</t>
        </is>
      </c>
      <c r="P51" s="42" t="inlineStr">
        <is>
          <t>Media Engine + Frontend</t>
        </is>
      </c>
      <c r="Q51" s="42" t="inlineStr">
        <is>
          <t>G2 — Playback/import architecture</t>
        </is>
      </c>
      <c r="R51" s="48" t="inlineStr">
        <is>
          <t>M</t>
        </is>
      </c>
      <c r="S51" s="42" t="inlineStr">
        <is>
          <t>SEQ-PLAY-001,SEQ-PLAY-002</t>
        </is>
      </c>
      <c r="T51" s="42" t="inlineStr">
        <is>
          <t>UAT-PLAY-005</t>
        </is>
      </c>
      <c r="U51" s="48" t="inlineStr">
        <is>
          <t>Not Started</t>
        </is>
      </c>
      <c r="V51" s="48" t="n">
        <v>0</v>
      </c>
      <c r="W51" s="42" t="str"/>
      <c r="X51" s="110" t="n"/>
      <c r="Y51" s="42" t="inlineStr">
        <is>
          <t>Existing 74-item source audit</t>
        </is>
      </c>
      <c r="Z51" s="42" t="str"/>
    </row>
    <row r="52" ht="62" customHeight="1">
      <c r="A52" s="42" t="inlineStr">
        <is>
          <t>SEQ-PLAY-006</t>
        </is>
      </c>
      <c r="B52" s="42" t="inlineStr">
        <is>
          <t>SEQ-PLAY-006</t>
        </is>
      </c>
      <c r="C52" s="42" t="inlineStr">
        <is>
          <t>Sequence / Playback</t>
        </is>
      </c>
      <c r="D52" s="48" t="inlineStr">
        <is>
          <t>P2</t>
        </is>
      </c>
      <c r="E52" s="48" t="inlineStr">
        <is>
          <t>Conditional</t>
        </is>
      </c>
      <c r="F52" s="48" t="inlineStr">
        <is>
          <t>Sequence / Media Engine</t>
        </is>
      </c>
      <c r="G52" s="48" t="inlineStr">
        <is>
          <t>High-confidence runtime risk</t>
        </is>
      </c>
      <c r="H52" s="48" t="inlineStr">
        <is>
          <t>Yes</t>
        </is>
      </c>
      <c r="I52" s="48" t="inlineStr">
        <is>
          <t>No</t>
        </is>
      </c>
      <c r="J52" s="42" t="inlineStr">
        <is>
          <t>Schedule gain automation on an audio clock</t>
        </is>
      </c>
      <c r="K52" s="42" t="inlineStr">
        <is>
          <t>Audio fades are updated from requestAnimationFrame and will be throttled in background/occluded tabs. Fades can become stepped, delayed, or jump to the wrong level.</t>
        </is>
      </c>
      <c r="L52" s="42" t="inlineStr">
        <is>
          <t>Schedule gain automation on an audio clock.</t>
        </is>
      </c>
      <c r="M52" s="42" t="inlineStr">
        <is>
          <t>Fade envelopes remain correct after tab backgrounding and restoration.</t>
        </is>
      </c>
      <c r="N52" s="42" t="inlineStr">
        <is>
          <t>SequenceEditorWorkspace rAF fade calculations</t>
        </is>
      </c>
      <c r="O52" s="42" t="inlineStr">
        <is>
          <t>https://github.com/tj1784/Premiere316_AI_Director_Prototype_v2.0.0/commit/17234f7bcc9687d12afa23fbb88c6eff5be7e2a9</t>
        </is>
      </c>
      <c r="P52" s="42" t="inlineStr">
        <is>
          <t>Media Engine + Frontend</t>
        </is>
      </c>
      <c r="Q52" s="42" t="inlineStr">
        <is>
          <t>G2 — Playback/import architecture</t>
        </is>
      </c>
      <c r="R52" s="48" t="inlineStr">
        <is>
          <t>M</t>
        </is>
      </c>
      <c r="S52" s="42" t="inlineStr">
        <is>
          <t>SEQ-PLAY-001</t>
        </is>
      </c>
      <c r="T52" s="42" t="inlineStr">
        <is>
          <t>UAT-PLAY-003,UAT-PLAY-014</t>
        </is>
      </c>
      <c r="U52" s="48" t="inlineStr">
        <is>
          <t>Not Started</t>
        </is>
      </c>
      <c r="V52" s="48" t="n">
        <v>0</v>
      </c>
      <c r="W52" s="42" t="str"/>
      <c r="X52" s="110" t="n"/>
      <c r="Y52" s="42" t="inlineStr">
        <is>
          <t>Existing 74-item source audit</t>
        </is>
      </c>
      <c r="Z52" s="42" t="str"/>
    </row>
    <row r="53" ht="62" customHeight="1">
      <c r="A53" s="42" t="inlineStr">
        <is>
          <t>SEQ-PLAY-008</t>
        </is>
      </c>
      <c r="B53" s="42" t="inlineStr">
        <is>
          <t>SEQ-PLAY-008</t>
        </is>
      </c>
      <c r="C53" s="42" t="inlineStr">
        <is>
          <t>Sequence / Playback</t>
        </is>
      </c>
      <c r="D53" s="48" t="inlineStr">
        <is>
          <t>P2</t>
        </is>
      </c>
      <c r="E53" s="48" t="inlineStr">
        <is>
          <t>Conditional</t>
        </is>
      </c>
      <c r="F53" s="48" t="inlineStr">
        <is>
          <t>Sequence / Media Engine</t>
        </is>
      </c>
      <c r="G53" s="48" t="inlineStr">
        <is>
          <t>Architecture limitation</t>
        </is>
      </c>
      <c r="H53" s="48" t="inlineStr">
        <is>
          <t>Yes</t>
        </is>
      </c>
      <c r="I53" s="48" t="inlineStr">
        <is>
          <t>No</t>
        </is>
      </c>
      <c r="J53" s="42" t="inlineStr">
        <is>
          <t>Use proxy/intraframe media or frame-serving for editorial review, and label precision limits</t>
        </is>
      </c>
      <c r="K53" s="42" t="inlineStr">
        <is>
          <t>HTMLMediaElement seeking is not frame-accurate for long-GOP sources, but the UI presents frame/timeline precision. Trim and cut review can show a nearby keyframe rather than the intended frame.</t>
        </is>
      </c>
      <c r="L53" s="42" t="inlineStr">
        <is>
          <t>Use proxy/intraframe media or frame-serving for editorial review, and label precision limits.</t>
        </is>
      </c>
      <c r="M53" s="42" t="inlineStr">
        <is>
          <t>A frame-index fixture lands on the expected frame at each tested cut.</t>
        </is>
      </c>
      <c r="N53" s="42" t="inlineStr">
        <is>
          <t>Sequence editor direct source seeking architecture</t>
        </is>
      </c>
      <c r="O53" s="42" t="inlineStr">
        <is>
          <t>https://github.com/tj1784/Premiere316_AI_Director_Prototype_v2.0.0/commit/17234f7bcc9687d12afa23fbb88c6eff5be7e2a9</t>
        </is>
      </c>
      <c r="P53" s="42" t="inlineStr">
        <is>
          <t>Media Engine + Frontend</t>
        </is>
      </c>
      <c r="Q53" s="42" t="inlineStr">
        <is>
          <t>G2 — Playback/import architecture</t>
        </is>
      </c>
      <c r="R53" s="48" t="inlineStr">
        <is>
          <t>M</t>
        </is>
      </c>
      <c r="S53" s="42" t="inlineStr">
        <is>
          <t>SEQ-PLAY-002</t>
        </is>
      </c>
      <c r="T53" s="42" t="inlineStr">
        <is>
          <t>UAT-PLAY-009</t>
        </is>
      </c>
      <c r="U53" s="48" t="inlineStr">
        <is>
          <t>Not Started</t>
        </is>
      </c>
      <c r="V53" s="48" t="n">
        <v>0</v>
      </c>
      <c r="W53" s="42" t="str"/>
      <c r="X53" s="110" t="n"/>
      <c r="Y53" s="42" t="inlineStr">
        <is>
          <t>Existing 74-item source audit</t>
        </is>
      </c>
      <c r="Z53" s="42" t="str"/>
    </row>
    <row r="54" ht="62" customHeight="1">
      <c r="A54" s="42" t="inlineStr">
        <is>
          <t>SEQ-PLAY-009</t>
        </is>
      </c>
      <c r="B54" s="42" t="inlineStr">
        <is>
          <t>SEQ-PLAY-009</t>
        </is>
      </c>
      <c r="C54" s="42" t="inlineStr">
        <is>
          <t>Sequence / Playback</t>
        </is>
      </c>
      <c r="D54" s="48" t="inlineStr">
        <is>
          <t>P2</t>
        </is>
      </c>
      <c r="E54" s="48" t="inlineStr">
        <is>
          <t>Conditional</t>
        </is>
      </c>
      <c r="F54" s="48" t="inlineStr">
        <is>
          <t>Sequence / Media Engine</t>
        </is>
      </c>
      <c r="G54" s="48" t="inlineStr">
        <is>
          <t>Confirmed UI-state ambiguity</t>
        </is>
      </c>
      <c r="H54" s="48" t="inlineStr">
        <is>
          <t>Yes</t>
        </is>
      </c>
      <c r="I54" s="48" t="inlineStr">
        <is>
          <t>No</t>
        </is>
      </c>
      <c r="J54" s="42" t="inlineStr">
        <is>
          <t>Separate program transport from solo/audition controls and label both</t>
        </is>
      </c>
      <c r="K54" s="42" t="inlineStr">
        <is>
          <t>Track play controls visually mirror global program playback rather than clearly representing lane-specific audition state. Users cannot tell what will play or which control owns transport.</t>
        </is>
      </c>
      <c r="L54" s="42" t="inlineStr">
        <is>
          <t>Separate program transport from solo/audition controls and label both.</t>
        </is>
      </c>
      <c r="M54" s="42" t="inlineStr">
        <is>
          <t>Control state remains unambiguous in mute, solo, locked, and program-play combinations.</t>
        </is>
      </c>
      <c r="N54" s="42" t="inlineStr">
        <is>
          <t>SequenceEditorWorkspace audio track control rendering</t>
        </is>
      </c>
      <c r="O54" s="42" t="inlineStr">
        <is>
          <t>https://github.com/tj1784/Premiere316_AI_Director_Prototype_v2.0.0/commit/17234f7bcc9687d12afa23fbb88c6eff5be7e2a9</t>
        </is>
      </c>
      <c r="P54" s="42" t="inlineStr">
        <is>
          <t>Media Engine + Frontend</t>
        </is>
      </c>
      <c r="Q54" s="42" t="inlineStr">
        <is>
          <t>G2 — Playback/import architecture</t>
        </is>
      </c>
      <c r="R54" s="48" t="inlineStr">
        <is>
          <t>M</t>
        </is>
      </c>
      <c r="S54" s="42" t="str"/>
      <c r="T54" s="42" t="inlineStr">
        <is>
          <t>UAT-PLAY-011</t>
        </is>
      </c>
      <c r="U54" s="48" t="inlineStr">
        <is>
          <t>Not Started</t>
        </is>
      </c>
      <c r="V54" s="48" t="n">
        <v>0</v>
      </c>
      <c r="W54" s="42" t="str"/>
      <c r="X54" s="110" t="n"/>
      <c r="Y54" s="42" t="inlineStr">
        <is>
          <t>Existing 74-item source audit</t>
        </is>
      </c>
      <c r="Z54" s="42" t="str"/>
    </row>
    <row r="55" ht="62" customHeight="1">
      <c r="A55" s="42" t="inlineStr">
        <is>
          <t>SEQ-PLAY-010</t>
        </is>
      </c>
      <c r="B55" s="42" t="inlineStr">
        <is>
          <t>SEQ-PLAY-010</t>
        </is>
      </c>
      <c r="C55" s="42" t="inlineStr">
        <is>
          <t>Sequence / Playback</t>
        </is>
      </c>
      <c r="D55" s="48" t="inlineStr">
        <is>
          <t>P2</t>
        </is>
      </c>
      <c r="E55" s="48" t="inlineStr">
        <is>
          <t>Conditional</t>
        </is>
      </c>
      <c r="F55" s="48" t="inlineStr">
        <is>
          <t>Sequence / Media Engine</t>
        </is>
      </c>
      <c r="G55" s="48" t="inlineStr">
        <is>
          <t>Confirmed missing seam handling</t>
        </is>
      </c>
      <c r="H55" s="48" t="inlineStr">
        <is>
          <t>Yes</t>
        </is>
      </c>
      <c r="I55" s="48" t="inlineStr">
        <is>
          <t>No</t>
        </is>
      </c>
      <c r="J55" s="42" t="inlineStr">
        <is>
          <t>Prepare the next source before the seam and expose a degraded-preview mode when impossible</t>
        </is>
      </c>
      <c r="K55" s="42" t="inlineStr">
        <is>
          <t>No explicit cut-preroll or seam-readiness logic is present. The viewer discovers decode latency at the cut rather than before it.</t>
        </is>
      </c>
      <c r="L55" s="42" t="inlineStr">
        <is>
          <t>Prepare the next source before the seam and expose a degraded-preview mode when impossible.</t>
        </is>
      </c>
      <c r="M55" s="42" t="inlineStr">
        <is>
          <t>Cut readiness is established before the seam for supported media.</t>
        </is>
      </c>
      <c r="N55" s="42" t="inlineStr">
        <is>
          <t>SequenceEditorWorkspace current/next clip handling</t>
        </is>
      </c>
      <c r="O55" s="42" t="inlineStr">
        <is>
          <t>https://github.com/tj1784/Premiere316_AI_Director_Prototype_v2.0.0/commit/17234f7bcc9687d12afa23fbb88c6eff5be7e2a9</t>
        </is>
      </c>
      <c r="P55" s="42" t="inlineStr">
        <is>
          <t>Media Engine + Frontend</t>
        </is>
      </c>
      <c r="Q55" s="42" t="inlineStr">
        <is>
          <t>G2 — Playback/import architecture</t>
        </is>
      </c>
      <c r="R55" s="48" t="inlineStr">
        <is>
          <t>M</t>
        </is>
      </c>
      <c r="S55" s="42" t="inlineStr">
        <is>
          <t>SEQ-PLAY-002</t>
        </is>
      </c>
      <c r="T55" s="42" t="inlineStr">
        <is>
          <t>UAT-PLAY-001</t>
        </is>
      </c>
      <c r="U55" s="48" t="inlineStr">
        <is>
          <t>In Progress</t>
        </is>
      </c>
      <c r="V55" s="48" t="n">
        <v>50</v>
      </c>
      <c r="W55" s="42" t="str"/>
      <c r="X55" s="110" t="n"/>
      <c r="Y55" s="42" t="inlineStr">
        <is>
          <t>Existing 74-item source audit</t>
        </is>
      </c>
      <c r="Z55" s="42" t="inlineStr">
        <is>
          <t>Implemented 2026-08-22: Next source preloads before seam</t>
        </is>
      </c>
    </row>
    <row r="56" ht="62" customHeight="1">
      <c r="A56" s="42" t="inlineStr">
        <is>
          <t>SEQ-STATE-002</t>
        </is>
      </c>
      <c r="B56" s="42" t="inlineStr">
        <is>
          <t>SEQ-STATE-002</t>
        </is>
      </c>
      <c r="C56" s="42" t="inlineStr">
        <is>
          <t>Sequence / Playback</t>
        </is>
      </c>
      <c r="D56" s="48" t="inlineStr">
        <is>
          <t>P2</t>
        </is>
      </c>
      <c r="E56" s="48" t="inlineStr">
        <is>
          <t>Conditional</t>
        </is>
      </c>
      <c r="F56" s="48" t="inlineStr">
        <is>
          <t>Reliability</t>
        </is>
      </c>
      <c r="G56" s="48" t="inlineStr">
        <is>
          <t>Runtime recovery gap</t>
        </is>
      </c>
      <c r="H56" s="48" t="inlineStr">
        <is>
          <t>Yes</t>
        </is>
      </c>
      <c r="I56" s="48" t="inlineStr">
        <is>
          <t>Yes</t>
        </is>
      </c>
      <c r="J56" s="42" t="inlineStr">
        <is>
          <t>Listen for lifecycle/device changes, pause or rebuild the media graph safely, and provide a clear resume action</t>
        </is>
      </c>
      <c r="K56" s="42" t="inlineStr">
        <is>
          <t>System sleep/wake, audio-device changes, and long application suspension have no explicit transport resynchronization policy. The preview can resume with stale clocks, duplicated audio, or an incorrect play state.</t>
        </is>
      </c>
      <c r="L56" s="42" t="inlineStr">
        <is>
          <t>Listen for lifecycle/device changes, pause or rebuild the media graph safely, and provide a clear resume action.</t>
        </is>
      </c>
      <c r="M56" s="42" t="inlineStr">
        <is>
          <t>After sleep/wake and device change, the editor reports the correct state and resumes only from a synchronized position.</t>
        </is>
      </c>
      <c r="N56" s="42" t="inlineStr">
        <is>
          <t>Playback architecture and current test inventory</t>
        </is>
      </c>
      <c r="O56" s="42" t="inlineStr">
        <is>
          <t>https://github.com/tj1784/Premiere316_AI_Director_Prototype_v2.0.0/commit/17234f7bcc9687d12afa23fbb88c6eff5be7e2a9</t>
        </is>
      </c>
      <c r="P56" s="42" t="inlineStr">
        <is>
          <t>Media Engine</t>
        </is>
      </c>
      <c r="Q56" s="42" t="inlineStr">
        <is>
          <t>G2 — Playback/import architecture</t>
        </is>
      </c>
      <c r="R56" s="48" t="inlineStr">
        <is>
          <t>L</t>
        </is>
      </c>
      <c r="S56" s="42" t="str"/>
      <c r="T56" s="42" t="inlineStr">
        <is>
          <t>UAT-PLAY-022</t>
        </is>
      </c>
      <c r="U56" s="48" t="inlineStr">
        <is>
          <t>Not Started</t>
        </is>
      </c>
      <c r="V56" s="48" t="n">
        <v>0</v>
      </c>
      <c r="W56" s="42" t="str"/>
      <c r="X56" s="110" t="n"/>
      <c r="Y56" s="42" t="inlineStr">
        <is>
          <t>User QA plan</t>
        </is>
      </c>
      <c r="Z56" s="42" t="str"/>
    </row>
    <row r="57" ht="62" customHeight="1">
      <c r="A57" s="42" t="inlineStr">
        <is>
          <t>IMP-008</t>
        </is>
      </c>
      <c r="B57" s="42" t="inlineStr">
        <is>
          <t>IMP-008</t>
        </is>
      </c>
      <c r="C57" s="42" t="inlineStr">
        <is>
          <t>Sequence / Timeline Drop</t>
        </is>
      </c>
      <c r="D57" s="48" t="inlineStr">
        <is>
          <t>P2</t>
        </is>
      </c>
      <c r="E57" s="48" t="inlineStr">
        <is>
          <t>Conditional</t>
        </is>
      </c>
      <c r="F57" s="48" t="inlineStr">
        <is>
          <t>Import / Reliability</t>
        </is>
      </c>
      <c r="G57" s="48" t="inlineStr">
        <is>
          <t>Mental-model mismatch</t>
        </is>
      </c>
      <c r="H57" s="48" t="inlineStr">
        <is>
          <t>Yes</t>
        </is>
      </c>
      <c r="I57" s="48" t="inlineStr">
        <is>
          <t>No</t>
        </is>
      </c>
      <c r="J57" s="42" t="inlineStr">
        <is>
          <t>Either insert at the drop location or restrict import drop affordance to the bin and label it</t>
        </is>
      </c>
      <c r="K57" s="42" t="inlineStr">
        <is>
          <t>Dropping media onto the timeline imports it to the bin rather than inserting it at the drop time/track. The drop target visually promises an edit operation but performs a library operation.</t>
        </is>
      </c>
      <c r="L57" s="42" t="inlineStr">
        <is>
          <t>Either insert at the drop location or restrict import drop affordance to the bin and label it.</t>
        </is>
      </c>
      <c r="M57" s="42" t="inlineStr">
        <is>
          <t>The result matches the visible drop target and preview indicator.</t>
        </is>
      </c>
      <c r="N57" s="42" t="inlineStr">
        <is>
          <t>Timeline onDrop wired to folder/media import</t>
        </is>
      </c>
      <c r="O57" s="42" t="inlineStr">
        <is>
          <t>https://github.com/tj1784/Premiere316_AI_Director_Prototype_v2.0.0/commit/17234f7bcc9687d12afa23fbb88c6eff5be7e2a9</t>
        </is>
      </c>
      <c r="P57" s="42" t="inlineStr">
        <is>
          <t>Frontend + Product</t>
        </is>
      </c>
      <c r="Q57" s="42" t="inlineStr">
        <is>
          <t>G2 — Playback/import architecture</t>
        </is>
      </c>
      <c r="R57" s="48" t="inlineStr">
        <is>
          <t>M</t>
        </is>
      </c>
      <c r="S57" s="42" t="str"/>
      <c r="T57" s="42" t="inlineStr">
        <is>
          <t>UAT-DROP-011</t>
        </is>
      </c>
      <c r="U57" s="48" t="inlineStr">
        <is>
          <t>In Progress</t>
        </is>
      </c>
      <c r="V57" s="48" t="n">
        <v>40</v>
      </c>
      <c r="W57" s="42" t="str"/>
      <c r="X57" s="110" t="n"/>
      <c r="Y57" s="42" t="inlineStr">
        <is>
          <t>Existing 74-item source audit</t>
        </is>
      </c>
      <c r="Z57" s="42" t="inlineStr">
        <is>
          <t>Implemented 2026-08-22: Timeline drop labeled as import-to-bin; insert-at-playhead not implemented</t>
        </is>
      </c>
    </row>
    <row r="58" ht="62" customHeight="1">
      <c r="A58" s="42" t="inlineStr">
        <is>
          <t>IMP-012</t>
        </is>
      </c>
      <c r="B58" s="42" t="inlineStr">
        <is>
          <t>IMP-012</t>
        </is>
      </c>
      <c r="C58" s="42" t="inlineStr">
        <is>
          <t>Sequence / Folder Drop</t>
        </is>
      </c>
      <c r="D58" s="48" t="inlineStr">
        <is>
          <t>P3</t>
        </is>
      </c>
      <c r="E58" s="48" t="inlineStr">
        <is>
          <t>No</t>
        </is>
      </c>
      <c r="F58" s="48" t="inlineStr">
        <is>
          <t>Import / Reliability</t>
        </is>
      </c>
      <c r="G58" s="48" t="inlineStr">
        <is>
          <t>Workflow friction</t>
        </is>
      </c>
      <c r="H58" s="48" t="inlineStr">
        <is>
          <t>Yes</t>
        </is>
      </c>
      <c r="I58" s="48" t="inlineStr">
        <is>
          <t>No</t>
        </is>
      </c>
      <c r="J58" s="42" t="inlineStr">
        <is>
          <t>Add a recent-import group and optional selection</t>
        </is>
      </c>
      <c r="K58" s="42" t="inlineStr">
        <is>
          <t>Newly imported media is not automatically selected or grouped as a recent import. Users must search for the result in a potentially large bin.</t>
        </is>
      </c>
      <c r="L58" s="42" t="inlineStr">
        <is>
          <t>Add a recent-import group and optional selection.</t>
        </is>
      </c>
      <c r="M58" s="42" t="inlineStr">
        <is>
          <t>The imported set is reachable in one action.</t>
        </is>
      </c>
      <c r="N58" s="42" t="inlineStr">
        <is>
          <t>Import completion behavior</t>
        </is>
      </c>
      <c r="O58" s="42" t="inlineStr">
        <is>
          <t>https://github.com/tj1784/Premiere316_AI_Director_Prototype_v2.0.0/commit/17234f7bcc9687d12afa23fbb88c6eff5be7e2a9</t>
        </is>
      </c>
      <c r="P58" s="42" t="inlineStr">
        <is>
          <t>Full Stack</t>
        </is>
      </c>
      <c r="Q58" s="42" t="inlineStr">
        <is>
          <t>G2 — Playback/import architecture</t>
        </is>
      </c>
      <c r="R58" s="48" t="inlineStr">
        <is>
          <t>M</t>
        </is>
      </c>
      <c r="S58" s="42" t="str"/>
      <c r="T58" s="42" t="inlineStr">
        <is>
          <t>UAT-DROP-017</t>
        </is>
      </c>
      <c r="U58" s="48" t="inlineStr">
        <is>
          <t>Not Started</t>
        </is>
      </c>
      <c r="V58" s="48" t="n">
        <v>0</v>
      </c>
      <c r="W58" s="42" t="str"/>
      <c r="X58" s="110" t="n"/>
      <c r="Y58" s="42" t="inlineStr">
        <is>
          <t>Existing 74-item source audit</t>
        </is>
      </c>
      <c r="Z58" s="42" t="str"/>
    </row>
    <row r="59" ht="62" customHeight="1">
      <c r="A59" s="42" t="inlineStr">
        <is>
          <t>IMP-017</t>
        </is>
      </c>
      <c r="B59" s="42" t="inlineStr">
        <is>
          <t>IMP-017</t>
        </is>
      </c>
      <c r="C59" s="42" t="inlineStr">
        <is>
          <t>Sequence / Folder Drop</t>
        </is>
      </c>
      <c r="D59" s="48" t="inlineStr">
        <is>
          <t>P3</t>
        </is>
      </c>
      <c r="E59" s="48" t="inlineStr">
        <is>
          <t>No</t>
        </is>
      </c>
      <c r="F59" s="48" t="inlineStr">
        <is>
          <t>Performance</t>
        </is>
      </c>
      <c r="G59" s="48" t="inlineStr">
        <is>
          <t>Operational scalability risk</t>
        </is>
      </c>
      <c r="H59" s="48" t="inlineStr">
        <is>
          <t>Yes</t>
        </is>
      </c>
      <c r="I59" s="48" t="inlineStr">
        <is>
          <t>No</t>
        </is>
      </c>
      <c r="J59" s="42" t="inlineStr">
        <is>
          <t>Add storage usage, duplicate cleanup, and orphan management</t>
        </is>
      </c>
      <c r="K59" s="42" t="inlineStr">
        <is>
          <t>Repeated imports can grow both disk copies and imports metadata without cleanup/retention tools. Projects accumulate difficult-to-manage storage and metadata debt.</t>
        </is>
      </c>
      <c r="L59" s="42" t="inlineStr">
        <is>
          <t>Add storage usage, duplicate cleanup, and orphan management.</t>
        </is>
      </c>
      <c r="M59" s="42" t="inlineStr">
        <is>
          <t>Users can identify and safely remove unused imported copies.</t>
        </is>
      </c>
      <c r="N59" s="42" t="inlineStr">
        <is>
          <t>Copy-on-import and document imports model</t>
        </is>
      </c>
      <c r="O59" s="42" t="inlineStr">
        <is>
          <t>https://github.com/tj1784/Premiere316_AI_Director_Prototype_v2.0.0/commit/17234f7bcc9687d12afa23fbb88c6eff5be7e2a9</t>
        </is>
      </c>
      <c r="P59" s="42" t="inlineStr">
        <is>
          <t>Full Stack</t>
        </is>
      </c>
      <c r="Q59" s="42" t="inlineStr">
        <is>
          <t>G2 — Playback/import architecture</t>
        </is>
      </c>
      <c r="R59" s="48" t="inlineStr">
        <is>
          <t>S</t>
        </is>
      </c>
      <c r="S59" s="42" t="str"/>
      <c r="T59" s="42" t="inlineStr">
        <is>
          <t>UAT-DROP-020</t>
        </is>
      </c>
      <c r="U59" s="48" t="inlineStr">
        <is>
          <t>Not Started</t>
        </is>
      </c>
      <c r="V59" s="48" t="n">
        <v>0</v>
      </c>
      <c r="W59" s="42" t="str"/>
      <c r="X59" s="110" t="n"/>
      <c r="Y59" s="42" t="inlineStr">
        <is>
          <t>Existing 74-item source audit</t>
        </is>
      </c>
      <c r="Z59" s="42" t="str"/>
    </row>
    <row r="60" ht="62" customHeight="1">
      <c r="A60" s="42" t="inlineStr">
        <is>
          <t>COMFY-007</t>
        </is>
      </c>
      <c r="B60" s="42" t="inlineStr">
        <is>
          <t>COMFY-007</t>
        </is>
      </c>
      <c r="C60" s="42" t="inlineStr">
        <is>
          <t>Comfy Picker</t>
        </is>
      </c>
      <c r="D60" s="48" t="inlineStr">
        <is>
          <t>P2</t>
        </is>
      </c>
      <c r="E60" s="48" t="inlineStr">
        <is>
          <t>Conditional</t>
        </is>
      </c>
      <c r="F60" s="48" t="inlineStr">
        <is>
          <t>Performance</t>
        </is>
      </c>
      <c r="G60" s="48" t="inlineStr">
        <is>
          <t>Scalability/usability weakness</t>
        </is>
      </c>
      <c r="H60" s="48" t="inlineStr">
        <is>
          <t>Yes</t>
        </is>
      </c>
      <c r="I60" s="48" t="inlineStr">
        <is>
          <t>No</t>
        </is>
      </c>
      <c r="J60" s="42" t="inlineStr">
        <is>
          <t>Use a searchable command/menu picker grouped by source/category with recent/favorites</t>
        </is>
      </c>
      <c r="K60" s="42" t="inlineStr">
        <is>
          <t>A flat native select is used for a recursive workflow library with no search, grouping, source filter, favorites, or virtualization. Discovery degrades quickly as the local library grows.</t>
        </is>
      </c>
      <c r="L60" s="42" t="inlineStr">
        <is>
          <t>Use a searchable command/menu picker grouped by source/category with recent/favorites.</t>
        </is>
      </c>
      <c r="M60" s="42" t="inlineStr">
        <is>
          <t>A 5,000-workflow fixture can be found by name/path/model in a few keystrokes.</t>
        </is>
      </c>
      <c r="N60" s="42" t="inlineStr">
        <is>
          <t>Comfy picker select rendering</t>
        </is>
      </c>
      <c r="O60" s="42" t="inlineStr">
        <is>
          <t>https://github.com/tj1784/Premiere316_AI_Director_Prototype_v2.0.0/commit/17234f7bcc9687d12afa23fbb88c6eff5be7e2a9</t>
        </is>
      </c>
      <c r="P60" s="42" t="inlineStr">
        <is>
          <t>Comfy Integration + Frontend</t>
        </is>
      </c>
      <c r="Q60" s="42" t="inlineStr">
        <is>
          <t>G3 — Workflow efficiency &amp; declutter</t>
        </is>
      </c>
      <c r="R60" s="48" t="inlineStr">
        <is>
          <t>L</t>
        </is>
      </c>
      <c r="S60" s="42" t="inlineStr">
        <is>
          <t>COMFY-001</t>
        </is>
      </c>
      <c r="T60" s="42" t="inlineStr">
        <is>
          <t>UAT-COMFY-010,UAT-COMFY-022</t>
        </is>
      </c>
      <c r="U60" s="48" t="inlineStr">
        <is>
          <t>Not Started</t>
        </is>
      </c>
      <c r="V60" s="48" t="n">
        <v>0</v>
      </c>
      <c r="W60" s="42" t="str"/>
      <c r="X60" s="110" t="n"/>
      <c r="Y60" s="42" t="inlineStr">
        <is>
          <t>Existing 74-item source audit</t>
        </is>
      </c>
      <c r="Z60" s="42" t="str"/>
    </row>
    <row r="61" ht="62" customHeight="1">
      <c r="A61" s="42" t="inlineStr">
        <is>
          <t>COMFY-022</t>
        </is>
      </c>
      <c r="B61" s="42" t="inlineStr">
        <is>
          <t>COMFY-022</t>
        </is>
      </c>
      <c r="C61" s="42" t="inlineStr">
        <is>
          <t>Comfy Picker / Information Architecture</t>
        </is>
      </c>
      <c r="D61" s="48" t="inlineStr">
        <is>
          <t>P2</t>
        </is>
      </c>
      <c r="E61" s="48" t="inlineStr">
        <is>
          <t>Conditional</t>
        </is>
      </c>
      <c r="F61" s="48" t="inlineStr">
        <is>
          <t>UX Redesign</t>
        </is>
      </c>
      <c r="G61" s="48" t="inlineStr">
        <is>
          <t>Missing details surface</t>
        </is>
      </c>
      <c r="H61" s="48" t="inlineStr">
        <is>
          <t>Yes</t>
        </is>
      </c>
      <c r="I61" s="48" t="inlineStr">
        <is>
          <t>Yes</t>
        </is>
      </c>
      <c r="J61" s="42" t="inlineStr">
        <is>
          <t>Add a right-side workflow details drawer and keep the permanent toolbar limited to selection, verified loaded state, and the primary action</t>
        </is>
      </c>
      <c r="K61" s="42" t="inlineStr">
        <is>
          <t>The picker lacks a dedicated details view for source, canonical ID, path, hash/version, readiness, required nodes/models, modified time, and compatibility. Users cannot confidently distinguish similar workflows or diagnose why one cannot run.</t>
        </is>
      </c>
      <c r="L61" s="42" t="inlineStr">
        <is>
          <t>Add a right-side workflow details drawer and keep the permanent toolbar limited to selection, verified loaded state, and the primary action.</t>
        </is>
      </c>
      <c r="M61" s="42" t="inlineStr">
        <is>
          <t>Selecting a workflow reveals complete provenance and dependency diagnostics without crowding the main canvas; drawer focus/dismiss behavior passes accessibility checks.</t>
        </is>
      </c>
      <c r="N61" s="42" t="inlineStr">
        <is>
          <t>Current Comfy toolbar and workflow option metadata</t>
        </is>
      </c>
      <c r="O61" s="42" t="inlineStr">
        <is>
          <t>https://github.com/tj1784/Premiere316_AI_Director_Prototype_v2.0.0/commit/17234f7bcc9687d12afa23fbb88c6eff5be7e2a9</t>
        </is>
      </c>
      <c r="P61" s="42" t="inlineStr">
        <is>
          <t>Product/UX + Frontend</t>
        </is>
      </c>
      <c r="Q61" s="42" t="inlineStr">
        <is>
          <t>G3 — Workflow efficiency &amp; declutter</t>
        </is>
      </c>
      <c r="R61" s="48" t="inlineStr">
        <is>
          <t>L</t>
        </is>
      </c>
      <c r="S61" s="42" t="inlineStr">
        <is>
          <t>COMFY-020,UX-DECLUTTER-003</t>
        </is>
      </c>
      <c r="T61" s="42" t="inlineStr">
        <is>
          <t>UAT-COMFY-026</t>
        </is>
      </c>
      <c r="U61" s="48" t="inlineStr">
        <is>
          <t>Not Started</t>
        </is>
      </c>
      <c r="V61" s="48" t="n">
        <v>0</v>
      </c>
      <c r="W61" s="42" t="str"/>
      <c r="X61" s="110" t="n"/>
      <c r="Y61" s="42" t="inlineStr">
        <is>
          <t>User QA plan</t>
        </is>
      </c>
      <c r="Z61" s="42" t="str"/>
    </row>
    <row r="62" ht="62" customHeight="1">
      <c r="A62" s="42" t="inlineStr">
        <is>
          <t>UX-DECLUTTER-003</t>
        </is>
      </c>
      <c r="B62" s="42" t="inlineStr">
        <is>
          <t>UX-DECLUTTER-003</t>
        </is>
      </c>
      <c r="C62" s="42" t="inlineStr">
        <is>
          <t>Comfy Picker / Information Architecture</t>
        </is>
      </c>
      <c r="D62" s="48" t="inlineStr">
        <is>
          <t>P2</t>
        </is>
      </c>
      <c r="E62" s="48" t="inlineStr">
        <is>
          <t>Conditional</t>
        </is>
      </c>
      <c r="F62" s="48" t="inlineStr">
        <is>
          <t>UX Redesign / Product Decision</t>
        </is>
      </c>
      <c r="G62" s="48" t="inlineStr">
        <is>
          <t>UX redesign target with scope correction</t>
        </is>
      </c>
      <c r="H62" s="48" t="inlineStr">
        <is>
          <t>Yes</t>
        </is>
      </c>
      <c r="I62" s="48" t="inlineStr">
        <is>
          <t>Yes</t>
        </is>
      </c>
      <c r="J62" s="42" t="inlineStr">
        <is>
          <t>For the current workflow picker, use a searchable grouped command/list surface with one verified loaded state, one primary action, filters in a popover, and provenance/dependencies in a right drawer</t>
        </is>
      </c>
      <c r="K62" s="42" t="inlineStr">
        <is>
          <t>The user proposal describes a thumbnail asset gallery, but the current `17234f7` control is a workflow picker. Treating gallery requirements as current defects would mis-scope the release. Without a clarified model, the team could build an expensive asset browser where a scalable workflow command picker is actually needed.</t>
        </is>
      </c>
      <c r="L62" s="42" t="inlineStr">
        <is>
          <t>For the current workflow picker, use a searchable grouped command/list surface with one verified loaded state, one primary action, filters in a popover, and provenance/dependencies in a right drawer. Create a separate product epic if a thumbnail asset gallery is desired.</t>
        </is>
      </c>
      <c r="M62" s="42" t="inlineStr">
        <is>
          <t>The current picker scales and remains quiet without pretending to be an asset gallery; any gallery initiative has a separate approved scope and data contract.</t>
        </is>
      </c>
      <c r="N62" s="42" t="inlineStr">
        <is>
          <t>User decluttering pass versus current ComfyUIWorkspace implementation</t>
        </is>
      </c>
      <c r="O62" s="42" t="inlineStr">
        <is>
          <t>https://github.com/tj1784/Premiere316_AI_Director_Prototype_v2.0.0/commit/17234f7bcc9687d12afa23fbb88c6eff5be7e2a9</t>
        </is>
      </c>
      <c r="P62" s="42" t="inlineStr">
        <is>
          <t>Product/UX + Comfy Integration</t>
        </is>
      </c>
      <c r="Q62" s="42" t="inlineStr">
        <is>
          <t>G3 — Workflow efficiency &amp; declutter</t>
        </is>
      </c>
      <c r="R62" s="48" t="inlineStr">
        <is>
          <t>L</t>
        </is>
      </c>
      <c r="S62" s="42" t="inlineStr">
        <is>
          <t>SCOPE-003,COMFY-007,COMFY-022,UX-CONTAINER-001</t>
        </is>
      </c>
      <c r="T62" s="42" t="inlineStr">
        <is>
          <t>UAT-UX-003</t>
        </is>
      </c>
      <c r="U62" s="48" t="inlineStr">
        <is>
          <t>Not Started</t>
        </is>
      </c>
      <c r="V62" s="48" t="n">
        <v>0</v>
      </c>
      <c r="W62" s="42" t="str"/>
      <c r="X62" s="110" t="n"/>
      <c r="Y62" s="42" t="inlineStr">
        <is>
          <t>Decluttering pass</t>
        </is>
      </c>
      <c r="Z62" s="42" t="str"/>
    </row>
    <row r="63" ht="62" customHeight="1">
      <c r="A63" s="42" t="inlineStr">
        <is>
          <t>COMFY-009</t>
        </is>
      </c>
      <c r="B63" s="42" t="inlineStr">
        <is>
          <t>COMFY-009</t>
        </is>
      </c>
      <c r="C63" s="42" t="inlineStr">
        <is>
          <t>Comfy Picker / Server</t>
        </is>
      </c>
      <c r="D63" s="48" t="inlineStr">
        <is>
          <t>P2</t>
        </is>
      </c>
      <c r="E63" s="48" t="inlineStr">
        <is>
          <t>Conditional</t>
        </is>
      </c>
      <c r="F63" s="48" t="inlineStr">
        <is>
          <t>Comfy Integration</t>
        </is>
      </c>
      <c r="G63" s="48" t="inlineStr">
        <is>
          <t>Confirmed performance risk</t>
        </is>
      </c>
      <c r="H63" s="48" t="inlineStr">
        <is>
          <t>Yes</t>
        </is>
      </c>
      <c r="I63" s="48" t="inlineStr">
        <is>
          <t>No</t>
        </is>
      </c>
      <c r="J63" s="42" t="inlineStr">
        <is>
          <t>Index asynchronously, cache metadata/hash, and invalidate on filesystem changes</t>
        </is>
      </c>
      <c r="K63" s="42" t="inlineStr">
        <is>
          <t>The server recursively scans the workflow tree and reads graph JSON synchronously on request. Large local libraries/graphs can block the Node event loop and slow unrelated UI/API activity.</t>
        </is>
      </c>
      <c r="L63" s="42" t="inlineStr">
        <is>
          <t>Index asynchronously, cache metadata/hash, and invalidate on filesystem changes.</t>
        </is>
      </c>
      <c r="M63" s="42" t="inlineStr">
        <is>
          <t>Picker list/graph requests do not create observable event-loop stalls on a large library.</t>
        </is>
      </c>
      <c r="N63" s="42" t="inlineStr">
        <is>
          <t>server/aaa-workflow.js listWorkflows/readWorkflowGraph</t>
        </is>
      </c>
      <c r="O63" s="42" t="inlineStr">
        <is>
          <t>https://github.com/tj1784/Premiere316_AI_Director_Prototype_v2.0.0/blob/17234f7bcc9687d12afa23fbb88c6eff5be7e2a9/server/aaa-workflow.js</t>
        </is>
      </c>
      <c r="P63" s="42" t="inlineStr">
        <is>
          <t>Backend + Comfy Integration</t>
        </is>
      </c>
      <c r="Q63" s="42" t="inlineStr">
        <is>
          <t>G3 — Workflow efficiency &amp; declutter</t>
        </is>
      </c>
      <c r="R63" s="48" t="inlineStr">
        <is>
          <t>L</t>
        </is>
      </c>
      <c r="S63" s="42" t="inlineStr">
        <is>
          <t>COMFY-003</t>
        </is>
      </c>
      <c r="T63" s="42" t="inlineStr">
        <is>
          <t>UAT-COMFY-019,UAT-COMFY-023</t>
        </is>
      </c>
      <c r="U63" s="48" t="inlineStr">
        <is>
          <t>Not Started</t>
        </is>
      </c>
      <c r="V63" s="48" t="n">
        <v>0</v>
      </c>
      <c r="W63" s="42" t="str"/>
      <c r="X63" s="110" t="n"/>
      <c r="Y63" s="42" t="inlineStr">
        <is>
          <t>Existing 74-item source audit</t>
        </is>
      </c>
      <c r="Z63" s="42" t="str"/>
    </row>
    <row r="64" ht="62" customHeight="1">
      <c r="A64" s="42" t="inlineStr">
        <is>
          <t>UX-DECLUTTER-002</t>
        </is>
      </c>
      <c r="B64" s="42" t="inlineStr">
        <is>
          <t>UX-DECLUTTER-002</t>
        </is>
      </c>
      <c r="C64" s="42" t="inlineStr">
        <is>
          <t>Folder Drop / Information Architecture</t>
        </is>
      </c>
      <c r="D64" s="48" t="inlineStr">
        <is>
          <t>P2</t>
        </is>
      </c>
      <c r="E64" s="48" t="inlineStr">
        <is>
          <t>Conditional</t>
        </is>
      </c>
      <c r="F64" s="48" t="inlineStr">
        <is>
          <t>UX Redesign</t>
        </is>
      </c>
      <c r="G64" s="48" t="inlineStr">
        <is>
          <t>UX redesign target</t>
        </is>
      </c>
      <c r="H64" s="48" t="inlineStr">
        <is>
          <t>Yes</t>
        </is>
      </c>
      <c r="I64" s="48" t="inlineStr">
        <is>
          <t>Yes</t>
        </is>
      </c>
      <c r="J64" s="42" t="inlineStr">
        <is>
          <t>Keep a minimal drop target; move import options to a gear popover/drawer, progress/cancel to a non-blocking bottom sheet or floating job card, and complete/partial results to an expandable summary with View imported and Retry failed</t>
        </is>
      </c>
      <c r="K64" s="42" t="inlineStr">
        <is>
          <t>Import configuration, progress, and result information need clear homes without permanently crowding the drop target. A clean drop surface can become ambiguous if secondary controls are simply removed rather than progressively disclosed.</t>
        </is>
      </c>
      <c r="L64" s="42" t="inlineStr">
        <is>
          <t>Keep a minimal drop target; move import options to a gear popover/drawer, progress/cancel to a non-blocking bottom sheet or floating job card, and complete/partial results to an expandable summary with View imported and Retry failed.</t>
        </is>
      </c>
      <c r="M64" s="42" t="inlineStr">
        <is>
          <t>Idle, valid, invalid, scanning, importing, partial, complete, cancelled, and failed states are distinct while the main editor remains usable.</t>
        </is>
      </c>
      <c r="N64" s="42" t="inlineStr">
        <is>
          <t>User decluttering pass and folder-import findings</t>
        </is>
      </c>
      <c r="O64" s="42" t="inlineStr">
        <is>
          <t>https://github.com/tj1784/Premiere316_AI_Director_Prototype_v2.0.0/commit/17234f7bcc9687d12afa23fbb88c6eff5be7e2a9</t>
        </is>
      </c>
      <c r="P64" s="42" t="inlineStr">
        <is>
          <t>Product/UX + Frontend</t>
        </is>
      </c>
      <c r="Q64" s="42" t="inlineStr">
        <is>
          <t>G3 — Workflow efficiency &amp; declutter</t>
        </is>
      </c>
      <c r="R64" s="48" t="inlineStr">
        <is>
          <t>L</t>
        </is>
      </c>
      <c r="S64" s="42" t="inlineStr">
        <is>
          <t>IMP-001,IMP-005,IMP-019,UX-CONTAINER-001</t>
        </is>
      </c>
      <c r="T64" s="42" t="inlineStr">
        <is>
          <t>UAT-UX-002</t>
        </is>
      </c>
      <c r="U64" s="48" t="inlineStr">
        <is>
          <t>Not Started</t>
        </is>
      </c>
      <c r="V64" s="48" t="n">
        <v>0</v>
      </c>
      <c r="W64" s="42" t="str"/>
      <c r="X64" s="110" t="n"/>
      <c r="Y64" s="42" t="inlineStr">
        <is>
          <t>Decluttering pass</t>
        </is>
      </c>
      <c r="Z64" s="42" t="str"/>
    </row>
    <row r="65" ht="62" customHeight="1">
      <c r="A65" s="42" t="inlineStr">
        <is>
          <t>UX-CONTAINER-003</t>
        </is>
      </c>
      <c r="B65" s="42" t="inlineStr">
        <is>
          <t>UX-CONTAINER-003</t>
        </is>
      </c>
      <c r="C65" s="42" t="inlineStr">
        <is>
          <t>Responsive Containers</t>
        </is>
      </c>
      <c r="D65" s="48" t="inlineStr">
        <is>
          <t>P2</t>
        </is>
      </c>
      <c r="E65" s="48" t="inlineStr">
        <is>
          <t>Conditional</t>
        </is>
      </c>
      <c r="F65" s="48" t="inlineStr">
        <is>
          <t>Responsive UX</t>
        </is>
      </c>
      <c r="G65" s="48" t="inlineStr">
        <is>
          <t>Responsive UX requirement</t>
        </is>
      </c>
      <c r="H65" s="48" t="inlineStr">
        <is>
          <t>Yes</t>
        </is>
      </c>
      <c r="I65" s="48" t="inlineStr">
        <is>
          <t>Yes</t>
        </is>
      </c>
      <c r="J65" s="42" t="inlineStr">
        <is>
          <t>Define workstation breakpoints: side drawer on wide desktop, full-height overlay/docked panel on constrained desktop, and bottom sheet only for approved touch/tablet targets</t>
        </is>
      </c>
      <c r="K65" s="42" t="inlineStr">
        <is>
          <t>Drawer, modal, popover, and sheet behavior is not specified across low-height desktop, split-screen, high zoom, and possible touch layouts. A decluttering pass can still hide controls off-screen or create nested scrolling if containers do not adapt deliberately.</t>
        </is>
      </c>
      <c r="L65" s="42" t="inlineStr">
        <is>
          <t>Define workstation breakpoints: side drawer on wide desktop, full-height overlay/docked panel on constrained desktop, and bottom sheet only for approved touch/tablet targets.</t>
        </is>
      </c>
      <c r="M65" s="42" t="inlineStr">
        <is>
          <t>Containers remain dismissible and fully usable at supported resolutions, 150% Windows scaling, and 400% zoom without clipping essential actions.</t>
        </is>
      </c>
      <c r="N65" s="42" t="inlineStr">
        <is>
          <t>User decluttering pass and responsive findings</t>
        </is>
      </c>
      <c r="O65" s="42" t="inlineStr">
        <is>
          <t>https://github.com/tj1784/Premiere316_AI_Director_Prototype_v2.0.0/commit/17234f7bcc9687d12afa23fbb88c6eff5be7e2a9</t>
        </is>
      </c>
      <c r="P65" s="42" t="inlineStr">
        <is>
          <t>Product/UX + Frontend</t>
        </is>
      </c>
      <c r="Q65" s="42" t="inlineStr">
        <is>
          <t>G3 — Workflow efficiency &amp; declutter</t>
        </is>
      </c>
      <c r="R65" s="48" t="inlineStr">
        <is>
          <t>L</t>
        </is>
      </c>
      <c r="S65" s="42" t="inlineStr">
        <is>
          <t>A11Y-005,A11Y-011,UX-CONTAINER-001</t>
        </is>
      </c>
      <c r="T65" s="42" t="inlineStr">
        <is>
          <t>UAT-UX-006</t>
        </is>
      </c>
      <c r="U65" s="48" t="inlineStr">
        <is>
          <t>Not Started</t>
        </is>
      </c>
      <c r="V65" s="48" t="n">
        <v>0</v>
      </c>
      <c r="W65" s="42" t="str"/>
      <c r="X65" s="110" t="n"/>
      <c r="Y65" s="42" t="inlineStr">
        <is>
          <t>Decluttering pass</t>
        </is>
      </c>
      <c r="Z65" s="42" t="str"/>
    </row>
    <row r="66" ht="62" customHeight="1">
      <c r="A66" s="42" t="inlineStr">
        <is>
          <t>IMP-019</t>
        </is>
      </c>
      <c r="B66" s="42" t="inlineStr">
        <is>
          <t>IMP-019</t>
        </is>
      </c>
      <c r="C66" s="42" t="inlineStr">
        <is>
          <t>Sequence / Folder Drop</t>
        </is>
      </c>
      <c r="D66" s="48" t="inlineStr">
        <is>
          <t>P2</t>
        </is>
      </c>
      <c r="E66" s="48" t="inlineStr">
        <is>
          <t>Conditional</t>
        </is>
      </c>
      <c r="F66" s="48" t="inlineStr">
        <is>
          <t>UX Defect</t>
        </is>
      </c>
      <c r="G66" s="48" t="inlineStr">
        <is>
          <t>Confirmed UX state gap</t>
        </is>
      </c>
      <c r="H66" s="48" t="inlineStr">
        <is>
          <t>Yes</t>
        </is>
      </c>
      <c r="I66" s="48" t="inlineStr">
        <is>
          <t>Yes</t>
        </is>
      </c>
      <c r="J66" s="42" t="inlineStr">
        <is>
          <t>Add one coordinated drag-state model with valid/invalid styling, nested target ownership, current destination text, and guaranteed cleanup on leave, Escape, drop, and error</t>
        </is>
      </c>
      <c r="K66" s="42" t="inlineStr">
        <is>
          <t>Drop targets do not expose clear drag-enter, valid, invalid, nested-target priority, or drag-leave cleanup states. Users cannot confidently predict where media will land, whether a payload is accepted, or why a drop was rejected.</t>
        </is>
      </c>
      <c r="L66" s="42" t="inlineStr">
        <is>
          <t>Add one coordinated drag-state model with valid/invalid styling, nested target ownership, current destination text, and guaranteed cleanup on leave, Escape, drop, and error.</t>
        </is>
      </c>
      <c r="M66" s="42" t="inlineStr">
        <is>
          <t>Library, timeline, and track targets show mutually exclusive destination states; invalid payloads are obvious; no highlight remains after cancel or failure.</t>
        </is>
      </c>
      <c r="N66" s="42" t="inlineStr">
        <is>
          <t>client/src/components/SequenceEditorWorkspace.tsx — drop target handlers and rendered states</t>
        </is>
      </c>
      <c r="O66" s="42" t="inlineStr">
        <is>
          <t>https://github.com/tj1784/Premiere316_AI_Director_Prototype_v2.0.0/blob/17234f7bcc9687d12afa23fbb88c6eff5be7e2a9/client/src/components/SequenceEditorWorkspace.tsx</t>
        </is>
      </c>
      <c r="P66" s="42" t="inlineStr">
        <is>
          <t>Frontend + UX</t>
        </is>
      </c>
      <c r="Q66" s="42" t="inlineStr">
        <is>
          <t>G3 — Workflow efficiency &amp; declutter</t>
        </is>
      </c>
      <c r="R66" s="48" t="inlineStr">
        <is>
          <t>M</t>
        </is>
      </c>
      <c r="S66" s="42" t="str"/>
      <c r="T66" s="42" t="inlineStr">
        <is>
          <t>UAT-DROP-021</t>
        </is>
      </c>
      <c r="U66" s="48" t="inlineStr">
        <is>
          <t>Not Started</t>
        </is>
      </c>
      <c r="V66" s="48" t="n">
        <v>0</v>
      </c>
      <c r="W66" s="42" t="str"/>
      <c r="X66" s="110" t="n"/>
      <c r="Y66" s="42" t="inlineStr">
        <is>
          <t>User QA plan</t>
        </is>
      </c>
      <c r="Z66" s="42" t="str"/>
    </row>
    <row r="67" ht="62" customHeight="1">
      <c r="A67" s="42" t="inlineStr">
        <is>
          <t>IMP-022</t>
        </is>
      </c>
      <c r="B67" s="42" t="inlineStr">
        <is>
          <t>IMP-022</t>
        </is>
      </c>
      <c r="C67" s="42" t="inlineStr">
        <is>
          <t>Sequence / Folder Drop</t>
        </is>
      </c>
      <c r="D67" s="48" t="inlineStr">
        <is>
          <t>P2</t>
        </is>
      </c>
      <c r="E67" s="48" t="inlineStr">
        <is>
          <t>Conditional</t>
        </is>
      </c>
      <c r="F67" s="48" t="inlineStr">
        <is>
          <t>Enhancement / Recovery</t>
        </is>
      </c>
      <c r="G67" s="48" t="inlineStr">
        <is>
          <t>Missing user-control capability</t>
        </is>
      </c>
      <c r="H67" s="48" t="inlineStr">
        <is>
          <t>Yes</t>
        </is>
      </c>
      <c r="I67" s="48" t="inlineStr">
        <is>
          <t>Yes</t>
        </is>
      </c>
      <c r="J67" s="42" t="inlineStr">
        <is>
          <t>Record every import as a reversible job and provide Undo import with dependency checks, safe file cleanup, and a review step when media has already been placed in the timeline</t>
        </is>
      </c>
      <c r="K67" s="42" t="inlineStr">
        <is>
          <t>There is no single undo action for an entire folder import, including copied files and registered metadata. A mistaken drop requires manual cleanup and can leave duplicate or unused project media.</t>
        </is>
      </c>
      <c r="L67" s="42" t="inlineStr">
        <is>
          <t>Record every import as a reversible job and provide Undo import with dependency checks, safe file cleanup, and a review step when media has already been placed in the timeline.</t>
        </is>
      </c>
      <c r="M67" s="42" t="inlineStr">
        <is>
          <t>Undo removes only files/records created by that job, preserves referenced media unless confirmed, and is itself auditable.</t>
        </is>
      </c>
      <c r="N67" s="42" t="inlineStr">
        <is>
          <t>Folder import completion flow and document import model</t>
        </is>
      </c>
      <c r="O67" s="42" t="inlineStr">
        <is>
          <t>https://github.com/tj1784/Premiere316_AI_Director_Prototype_v2.0.0/commit/17234f7bcc9687d12afa23fbb88c6eff5be7e2a9</t>
        </is>
      </c>
      <c r="P67" s="42" t="inlineStr">
        <is>
          <t>Full Stack</t>
        </is>
      </c>
      <c r="Q67" s="42" t="inlineStr">
        <is>
          <t>G3 — Workflow efficiency &amp; declutter</t>
        </is>
      </c>
      <c r="R67" s="48" t="inlineStr">
        <is>
          <t>L</t>
        </is>
      </c>
      <c r="S67" s="42" t="inlineStr">
        <is>
          <t>IMP-025,IMP-010</t>
        </is>
      </c>
      <c r="T67" s="42" t="inlineStr">
        <is>
          <t>UAT-DROP-026</t>
        </is>
      </c>
      <c r="U67" s="48" t="inlineStr">
        <is>
          <t>Not Started</t>
        </is>
      </c>
      <c r="V67" s="48" t="n">
        <v>0</v>
      </c>
      <c r="W67" s="42" t="str"/>
      <c r="X67" s="110" t="n"/>
      <c r="Y67" s="42" t="inlineStr">
        <is>
          <t>User QA plan</t>
        </is>
      </c>
      <c r="Z67" s="42" t="str"/>
    </row>
    <row r="68" ht="62" customHeight="1">
      <c r="A68" s="42" t="inlineStr">
        <is>
          <t>SEQ-BIN-001</t>
        </is>
      </c>
      <c r="B68" s="42" t="inlineStr">
        <is>
          <t>SEQ-BIN-001</t>
        </is>
      </c>
      <c r="C68" s="42" t="inlineStr">
        <is>
          <t>Sequence / Media Bin</t>
        </is>
      </c>
      <c r="D68" s="48" t="inlineStr">
        <is>
          <t>P2</t>
        </is>
      </c>
      <c r="E68" s="48" t="inlineStr">
        <is>
          <t>Conditional</t>
        </is>
      </c>
      <c r="F68" s="48" t="inlineStr">
        <is>
          <t>Sequence / Media Engine</t>
        </is>
      </c>
      <c r="G68" s="48" t="inlineStr">
        <is>
          <t>Confirmed state-consistency defect</t>
        </is>
      </c>
      <c r="H68" s="48" t="inlineStr">
        <is>
          <t>Yes</t>
        </is>
      </c>
      <c r="I68" s="48" t="inlineStr">
        <is>
          <t>No</t>
        </is>
      </c>
      <c r="J68" s="42" t="inlineStr">
        <is>
          <t>Clear, preserve with an explicit hidden-selection banner, or reveal the selected item</t>
        </is>
      </c>
      <c r="K68" s="42" t="inlineStr">
        <is>
          <t>Changing a filter can leave the source monitor showing an item no longer visible in the bin. Selection and visible collection disagree.</t>
        </is>
      </c>
      <c r="L68" s="42" t="inlineStr">
        <is>
          <t>Clear, preserve with an explicit hidden-selection banner, or reveal the selected item.</t>
        </is>
      </c>
      <c r="M68" s="42" t="inlineStr">
        <is>
          <t>A hidden selection is never presented as though it belongs to the current filtered set.</t>
        </is>
      </c>
      <c r="N68" s="42" t="inlineStr">
        <is>
          <t>selectedMedia derives from all media while visibleMedia is filtered</t>
        </is>
      </c>
      <c r="O68" s="42" t="inlineStr">
        <is>
          <t>https://github.com/tj1784/Premiere316_AI_Director_Prototype_v2.0.0/commit/17234f7bcc9687d12afa23fbb88c6eff5be7e2a9</t>
        </is>
      </c>
      <c r="P68" s="42" t="inlineStr">
        <is>
          <t>Frontend</t>
        </is>
      </c>
      <c r="Q68" s="42" t="inlineStr">
        <is>
          <t>G3 — Workflow efficiency &amp; declutter</t>
        </is>
      </c>
      <c r="R68" s="48" t="inlineStr">
        <is>
          <t>M</t>
        </is>
      </c>
      <c r="S68" s="42" t="str"/>
      <c r="T68" s="42" t="inlineStr">
        <is>
          <t>UAT-TAKE-006</t>
        </is>
      </c>
      <c r="U68" s="48" t="inlineStr">
        <is>
          <t>Not Started</t>
        </is>
      </c>
      <c r="V68" s="48" t="n">
        <v>0</v>
      </c>
      <c r="W68" s="42" t="str"/>
      <c r="X68" s="110" t="n"/>
      <c r="Y68" s="42" t="inlineStr">
        <is>
          <t>Existing 74-item source audit</t>
        </is>
      </c>
      <c r="Z68" s="42" t="str"/>
    </row>
    <row r="69" ht="62" customHeight="1">
      <c r="A69" s="42" t="inlineStr">
        <is>
          <t>SEQ-BIN-002</t>
        </is>
      </c>
      <c r="B69" s="42" t="inlineStr">
        <is>
          <t>SEQ-BIN-002</t>
        </is>
      </c>
      <c r="C69" s="42" t="inlineStr">
        <is>
          <t>Sequence / Media Bin</t>
        </is>
      </c>
      <c r="D69" s="48" t="inlineStr">
        <is>
          <t>P2</t>
        </is>
      </c>
      <c r="E69" s="48" t="inlineStr">
        <is>
          <t>Conditional</t>
        </is>
      </c>
      <c r="F69" s="48" t="inlineStr">
        <is>
          <t>Performance</t>
        </is>
      </c>
      <c r="G69" s="48" t="inlineStr">
        <is>
          <t>Scalability risk</t>
        </is>
      </c>
      <c r="H69" s="48" t="inlineStr">
        <is>
          <t>Yes</t>
        </is>
      </c>
      <c r="I69" s="48" t="inlineStr">
        <is>
          <t>No</t>
        </is>
      </c>
      <c r="J69" s="42" t="inlineStr">
        <is>
          <t>Virtualize rows and stabilize item keys/heights</t>
        </is>
      </c>
      <c r="K69" s="42" t="inlineStr">
        <is>
          <t>The media/take list renders without virtualization. Large takes libraries and repeated folder imports can make scrolling and interaction sluggish.</t>
        </is>
      </c>
      <c r="L69" s="42" t="inlineStr">
        <is>
          <t>Virtualize rows and stabilize item keys/heights.</t>
        </is>
      </c>
      <c r="M69" s="42" t="inlineStr">
        <is>
          <t>A 10,000-item fixture scrolls and filters responsively.</t>
        </is>
      </c>
      <c r="N69" s="42" t="inlineStr">
        <is>
          <t>SequenceEditorWorkspace visibleMedia map rendering</t>
        </is>
      </c>
      <c r="O69" s="42" t="inlineStr">
        <is>
          <t>https://github.com/tj1784/Premiere316_AI_Director_Prototype_v2.0.0/commit/17234f7bcc9687d12afa23fbb88c6eff5be7e2a9</t>
        </is>
      </c>
      <c r="P69" s="42" t="inlineStr">
        <is>
          <t>Frontend</t>
        </is>
      </c>
      <c r="Q69" s="42" t="inlineStr">
        <is>
          <t>G3 — Workflow efficiency &amp; declutter</t>
        </is>
      </c>
      <c r="R69" s="48" t="inlineStr">
        <is>
          <t>L</t>
        </is>
      </c>
      <c r="S69" s="42" t="str"/>
      <c r="T69" s="42" t="inlineStr">
        <is>
          <t>UAT-TAKE-001,UAT-COMFY-010</t>
        </is>
      </c>
      <c r="U69" s="48" t="inlineStr">
        <is>
          <t>Not Started</t>
        </is>
      </c>
      <c r="V69" s="48" t="n">
        <v>0</v>
      </c>
      <c r="W69" s="42" t="str"/>
      <c r="X69" s="110" t="n"/>
      <c r="Y69" s="42" t="inlineStr">
        <is>
          <t>Existing 74-item source audit</t>
        </is>
      </c>
      <c r="Z69" s="42" t="str"/>
    </row>
    <row r="70" ht="62" customHeight="1">
      <c r="A70" s="42" t="inlineStr">
        <is>
          <t>TAKE-002</t>
        </is>
      </c>
      <c r="B70" s="42" t="inlineStr">
        <is>
          <t>TAKE-002</t>
        </is>
      </c>
      <c r="C70" s="42" t="inlineStr">
        <is>
          <t>Sequence / Takes</t>
        </is>
      </c>
      <c r="D70" s="48" t="inlineStr">
        <is>
          <t>P2</t>
        </is>
      </c>
      <c r="E70" s="48" t="inlineStr">
        <is>
          <t>Conditional</t>
        </is>
      </c>
      <c r="F70" s="48" t="inlineStr">
        <is>
          <t>Takes / UX</t>
        </is>
      </c>
      <c r="G70" s="48" t="inlineStr">
        <is>
          <t>Confirmed missing primary action</t>
        </is>
      </c>
      <c r="H70" s="48" t="inlineStr">
        <is>
          <t>Yes</t>
        </is>
      </c>
      <c r="I70" s="48" t="inlineStr">
        <is>
          <t>No</t>
        </is>
      </c>
      <c r="J70" s="42" t="inlineStr">
        <is>
          <t>Add a primary replace action with target segment/timeline confirmation</t>
        </is>
      </c>
      <c r="K70" s="42" t="inlineStr">
        <is>
          <t>There is no direct, explicit 'Replace selected timeline clip with selected take' action. A common editorial task requires indirect context and is easy to perform against the wrong target.</t>
        </is>
      </c>
      <c r="L70" s="42" t="inlineStr">
        <is>
          <t>Add a primary replace action with target segment/timeline confirmation.</t>
        </is>
      </c>
      <c r="M70" s="42" t="inlineStr">
        <is>
          <t>One keyboard-accessible action swaps the selected clip and preserves trim policy predictably.</t>
        </is>
      </c>
      <c r="N70" s="42" t="inlineStr">
        <is>
          <t>Sequence editor take and timeline action surface</t>
        </is>
      </c>
      <c r="O70" s="42" t="inlineStr">
        <is>
          <t>https://github.com/tj1784/Premiere316_AI_Director_Prototype_v2.0.0/commit/17234f7bcc9687d12afa23fbb88c6eff5be7e2a9</t>
        </is>
      </c>
      <c r="P70" s="42" t="inlineStr">
        <is>
          <t>Product + Frontend</t>
        </is>
      </c>
      <c r="Q70" s="42" t="inlineStr">
        <is>
          <t>G3 — Workflow efficiency &amp; declutter</t>
        </is>
      </c>
      <c r="R70" s="48" t="inlineStr">
        <is>
          <t>M</t>
        </is>
      </c>
      <c r="S70" s="42" t="str"/>
      <c r="T70" s="42" t="inlineStr">
        <is>
          <t>UAT-TAKE-004</t>
        </is>
      </c>
      <c r="U70" s="48" t="inlineStr">
        <is>
          <t>Done</t>
        </is>
      </c>
      <c r="V70" s="48" t="n">
        <v>100</v>
      </c>
      <c r="W70" s="42" t="str"/>
      <c r="X70" s="110" t="n"/>
      <c r="Y70" s="42" t="inlineStr">
        <is>
          <t>Existing 74-item source audit</t>
        </is>
      </c>
      <c r="Z70" s="42" t="inlineStr">
        <is>
          <t>Implemented 2026-08-22: Replace selected clip with take + undo via existing commit</t>
        </is>
      </c>
    </row>
    <row r="71" ht="62" customHeight="1">
      <c r="A71" s="42" t="inlineStr">
        <is>
          <t>TAKE-003</t>
        </is>
      </c>
      <c r="B71" s="42" t="inlineStr">
        <is>
          <t>TAKE-003</t>
        </is>
      </c>
      <c r="C71" s="42" t="inlineStr">
        <is>
          <t>Sequence / Takes</t>
        </is>
      </c>
      <c r="D71" s="48" t="inlineStr">
        <is>
          <t>P2</t>
        </is>
      </c>
      <c r="E71" s="48" t="inlineStr">
        <is>
          <t>Conditional</t>
        </is>
      </c>
      <c r="F71" s="48" t="inlineStr">
        <is>
          <t>Takes / UX</t>
        </is>
      </c>
      <c r="G71" s="48" t="inlineStr">
        <is>
          <t>Confirmed missing comparison workflow</t>
        </is>
      </c>
      <c r="H71" s="48" t="inlineStr">
        <is>
          <t>Yes</t>
        </is>
      </c>
      <c r="I71" s="48" t="inlineStr">
        <is>
          <t>No</t>
        </is>
      </c>
      <c r="J71" s="42" t="inlineStr">
        <is>
          <t>Add segment-scoped cycling and compare modes</t>
        </is>
      </c>
      <c r="K71" s="42" t="inlineStr">
        <is>
          <t>No previous/next take cycling, A/B compare, side-by-side compare, or keyboard audition exists. Reviewing many generations is slow and cognitively expensive.</t>
        </is>
      </c>
      <c r="L71" s="42" t="inlineStr">
        <is>
          <t>Add segment-scoped cycling and compare modes.</t>
        </is>
      </c>
      <c r="M71" s="42" t="inlineStr">
        <is>
          <t>A reviewer can audition all takes for one segment without moving pointer focus.</t>
        </is>
      </c>
      <c r="N71" s="42" t="inlineStr">
        <is>
          <t>Sequence editor take controls</t>
        </is>
      </c>
      <c r="O71" s="42" t="inlineStr">
        <is>
          <t>https://github.com/tj1784/Premiere316_AI_Director_Prototype_v2.0.0/commit/17234f7bcc9687d12afa23fbb88c6eff5be7e2a9</t>
        </is>
      </c>
      <c r="P71" s="42" t="inlineStr">
        <is>
          <t>Product + Frontend</t>
        </is>
      </c>
      <c r="Q71" s="42" t="inlineStr">
        <is>
          <t>G3 — Workflow efficiency &amp; declutter</t>
        </is>
      </c>
      <c r="R71" s="48" t="inlineStr">
        <is>
          <t>L</t>
        </is>
      </c>
      <c r="S71" s="42" t="str"/>
      <c r="T71" s="42" t="inlineStr">
        <is>
          <t>UAT-TAKE-005,UAT-TAKE-009</t>
        </is>
      </c>
      <c r="U71" s="48" t="inlineStr">
        <is>
          <t>Not Started</t>
        </is>
      </c>
      <c r="V71" s="48" t="n">
        <v>0</v>
      </c>
      <c r="W71" s="42" t="str"/>
      <c r="X71" s="110" t="n"/>
      <c r="Y71" s="42" t="inlineStr">
        <is>
          <t>Existing 74-item source audit</t>
        </is>
      </c>
      <c r="Z71" s="42" t="str"/>
    </row>
    <row r="72" ht="62" customHeight="1">
      <c r="A72" s="42" t="inlineStr">
        <is>
          <t>TAKE-004</t>
        </is>
      </c>
      <c r="B72" s="42" t="inlineStr">
        <is>
          <t>TAKE-004</t>
        </is>
      </c>
      <c r="C72" s="42" t="inlineStr">
        <is>
          <t>Sequence / Takes</t>
        </is>
      </c>
      <c r="D72" s="48" t="inlineStr">
        <is>
          <t>P2</t>
        </is>
      </c>
      <c r="E72" s="48" t="inlineStr">
        <is>
          <t>Conditional</t>
        </is>
      </c>
      <c r="F72" s="48" t="inlineStr">
        <is>
          <t>Takes / UX</t>
        </is>
      </c>
      <c r="G72" s="48" t="inlineStr">
        <is>
          <t>Confirmed filter leakage</t>
        </is>
      </c>
      <c r="H72" s="48" t="inlineStr">
        <is>
          <t>Yes</t>
        </is>
      </c>
      <c r="I72" s="48" t="inlineStr">
        <is>
          <t>No</t>
        </is>
      </c>
      <c r="J72" s="42" t="inlineStr">
        <is>
          <t>Make unassigned media an explicit separate group/filter</t>
        </is>
      </c>
      <c r="K72" s="42" t="inlineStr">
        <is>
          <t>When a segment is scoped, media with no segment ID can remain visible. Unregistered folder imports pollute a segment-focused take review.</t>
        </is>
      </c>
      <c r="L72" s="42" t="inlineStr">
        <is>
          <t>Make unassigned media an explicit separate group/filter.</t>
        </is>
      </c>
      <c r="M72" s="42" t="inlineStr">
        <is>
          <t>Segment scope contains only that segment unless 'Include unassigned' is enabled.</t>
        </is>
      </c>
      <c r="N72" s="42" t="inlineStr">
        <is>
          <t>SequenceEditorWorkspace visibleMedia segment predicate</t>
        </is>
      </c>
      <c r="O72" s="42" t="inlineStr">
        <is>
          <t>https://github.com/tj1784/Premiere316_AI_Director_Prototype_v2.0.0/commit/17234f7bcc9687d12afa23fbb88c6eff5be7e2a9</t>
        </is>
      </c>
      <c r="P72" s="42" t="inlineStr">
        <is>
          <t>Product + Frontend</t>
        </is>
      </c>
      <c r="Q72" s="42" t="inlineStr">
        <is>
          <t>G3 — Workflow efficiency &amp; declutter</t>
        </is>
      </c>
      <c r="R72" s="48" t="inlineStr">
        <is>
          <t>L</t>
        </is>
      </c>
      <c r="S72" s="42" t="str"/>
      <c r="T72" s="42" t="inlineStr">
        <is>
          <t>UAT-TAKE-007</t>
        </is>
      </c>
      <c r="U72" s="48" t="inlineStr">
        <is>
          <t>Done</t>
        </is>
      </c>
      <c r="V72" s="48" t="n">
        <v>100</v>
      </c>
      <c r="W72" s="42" t="str"/>
      <c r="X72" s="110" t="n"/>
      <c r="Y72" s="42" t="inlineStr">
        <is>
          <t>Existing 74-item source audit</t>
        </is>
      </c>
      <c r="Z72" s="42" t="inlineStr">
        <is>
          <t>Implemented 2026-08-22: Unassigned excluded from segment scope unless includeUnassigned</t>
        </is>
      </c>
    </row>
    <row r="73" ht="62" customHeight="1">
      <c r="A73" s="42" t="inlineStr">
        <is>
          <t>TAKE-010</t>
        </is>
      </c>
      <c r="B73" s="42" t="inlineStr">
        <is>
          <t>TAKE-010</t>
        </is>
      </c>
      <c r="C73" s="42" t="inlineStr">
        <is>
          <t>Sequence / Takes</t>
        </is>
      </c>
      <c r="D73" s="48" t="inlineStr">
        <is>
          <t>P2</t>
        </is>
      </c>
      <c r="E73" s="48" t="inlineStr">
        <is>
          <t>Conditional</t>
        </is>
      </c>
      <c r="F73" s="48" t="inlineStr">
        <is>
          <t>Reliability / Product</t>
        </is>
      </c>
      <c r="G73" s="48" t="inlineStr">
        <is>
          <t>Persistence requirement</t>
        </is>
      </c>
      <c r="H73" s="48" t="inlineStr">
        <is>
          <t>Yes</t>
        </is>
      </c>
      <c r="I73" s="48" t="inlineStr">
        <is>
          <t>Yes</t>
        </is>
      </c>
      <c r="J73" s="42" t="inlineStr">
        <is>
          <t>Define project-persistent versus user-local state and restore it deterministically with migration/version handling</t>
        </is>
      </c>
      <c r="K73" s="42" t="inlineStr">
        <is>
          <t>The full take review state—active take, selection, compare state, metadata, and ordering—has no explicit persistence contract across reload/restart. Users can lose review context or see a different active candidate after reopening the project.</t>
        </is>
      </c>
      <c r="L73" s="42" t="inlineStr">
        <is>
          <t>Define project-persistent versus user-local state and restore it deterministically with migration/version handling.</t>
        </is>
      </c>
      <c r="M73" s="42" t="inlineStr">
        <is>
          <t>Reload and application restart restore the documented take state without changing the underlying sequence unexpectedly.</t>
        </is>
      </c>
      <c r="N73" s="42" t="inlineStr">
        <is>
          <t>Current component-local take/filter state and proposed take capabilities</t>
        </is>
      </c>
      <c r="O73" s="42" t="inlineStr">
        <is>
          <t>https://github.com/tj1784/Premiere316_AI_Director_Prototype_v2.0.0/commit/17234f7bcc9687d12afa23fbb88c6eff5be7e2a9</t>
        </is>
      </c>
      <c r="P73" s="42" t="inlineStr">
        <is>
          <t>Frontend + Backend</t>
        </is>
      </c>
      <c r="Q73" s="42" t="inlineStr">
        <is>
          <t>G3 — Workflow efficiency &amp; declutter</t>
        </is>
      </c>
      <c r="R73" s="48" t="inlineStr">
        <is>
          <t>M</t>
        </is>
      </c>
      <c r="S73" s="42" t="inlineStr">
        <is>
          <t>TAKE-007</t>
        </is>
      </c>
      <c r="T73" s="42" t="inlineStr">
        <is>
          <t>UAT-TAKE-014</t>
        </is>
      </c>
      <c r="U73" s="48" t="inlineStr">
        <is>
          <t>Not Started</t>
        </is>
      </c>
      <c r="V73" s="48" t="n">
        <v>0</v>
      </c>
      <c r="W73" s="42" t="str"/>
      <c r="X73" s="110" t="n"/>
      <c r="Y73" s="42" t="inlineStr">
        <is>
          <t>User QA plan</t>
        </is>
      </c>
      <c r="Z73" s="42" t="str"/>
    </row>
    <row r="74" ht="62" customHeight="1">
      <c r="A74" s="42" t="inlineStr">
        <is>
          <t>UX-DECLUTTER-001</t>
        </is>
      </c>
      <c r="B74" s="42" t="inlineStr">
        <is>
          <t>UX-DECLUTTER-001</t>
        </is>
      </c>
      <c r="C74" s="42" t="inlineStr">
        <is>
          <t>Sequence / Takes / Information Architecture</t>
        </is>
      </c>
      <c r="D74" s="48" t="inlineStr">
        <is>
          <t>P2</t>
        </is>
      </c>
      <c r="E74" s="48" t="inlineStr">
        <is>
          <t>Conditional</t>
        </is>
      </c>
      <c r="F74" s="48" t="inlineStr">
        <is>
          <t>UX Redesign</t>
        </is>
      </c>
      <c r="G74" s="48" t="inlineStr">
        <is>
          <t>UX redesign target</t>
        </is>
      </c>
      <c r="H74" s="48" t="inlineStr">
        <is>
          <t>Yes</t>
        </is>
      </c>
      <c r="I74" s="48" t="inlineStr">
        <is>
          <t>Yes</t>
        </is>
      </c>
      <c r="J74" s="42" t="inlineStr">
        <is>
          <t>Keep program media, play/pause, scrubber/playhead, current take, and a compact take switcher permanent; move take details to a drawer, management to a modal, advanced transport to a popover, markers to contextual tools, and A/B compare to a focused modal</t>
        </is>
      </c>
      <c r="K74" s="42" t="inlineStr">
        <is>
          <t>The permanent sequence surface carries dense library, inspector, timeline tools, transport, metadata, and status information simultaneously. The editor is visually noisy and makes primary playback/take-selection actions compete with secondary controls.</t>
        </is>
      </c>
      <c r="L74" s="42" t="inlineStr">
        <is>
          <t>Keep program media, play/pause, scrubber/playhead, current take, and a compact take switcher permanent; move take details to a drawer, management to a modal, advanced transport to a popover, markers to contextual tools, and A/B compare to a focused modal.</t>
        </is>
      </c>
      <c r="M74" s="42" t="inlineStr">
        <is>
          <t>Primary review can be completed with the quiet surface; every moved capability remains reachable in one intentional action, keyboard accessible, and focus-safe.</t>
        </is>
      </c>
      <c r="N74" s="42" t="inlineStr">
        <is>
          <t>User decluttering pass plus current Sequence layout</t>
        </is>
      </c>
      <c r="O74" s="42" t="inlineStr">
        <is>
          <t>https://github.com/tj1784/Premiere316_AI_Director_Prototype_v2.0.0/commit/17234f7bcc9687d12afa23fbb88c6eff5be7e2a9</t>
        </is>
      </c>
      <c r="P74" s="42" t="inlineStr">
        <is>
          <t>Product/UX + Frontend</t>
        </is>
      </c>
      <c r="Q74" s="42" t="inlineStr">
        <is>
          <t>G3 — Workflow efficiency &amp; declutter</t>
        </is>
      </c>
      <c r="R74" s="48" t="inlineStr">
        <is>
          <t>XL</t>
        </is>
      </c>
      <c r="S74" s="42" t="inlineStr">
        <is>
          <t>TAKE-007,UX-CONTAINER-001</t>
        </is>
      </c>
      <c r="T74" s="42" t="inlineStr">
        <is>
          <t>UAT-UX-001</t>
        </is>
      </c>
      <c r="U74" s="48" t="inlineStr">
        <is>
          <t>Not Started</t>
        </is>
      </c>
      <c r="V74" s="48" t="n">
        <v>0</v>
      </c>
      <c r="W74" s="42" t="str"/>
      <c r="X74" s="110" t="n"/>
      <c r="Y74" s="42" t="inlineStr">
        <is>
          <t>Decluttering pass</t>
        </is>
      </c>
      <c r="Z74" s="42" t="str"/>
    </row>
    <row r="75" ht="62" customHeight="1">
      <c r="A75" s="42" t="inlineStr">
        <is>
          <t>SEQ-PLAY-011</t>
        </is>
      </c>
      <c r="B75" s="42" t="inlineStr">
        <is>
          <t>SEQ-PLAY-011</t>
        </is>
      </c>
      <c r="C75" s="42" t="inlineStr">
        <is>
          <t>Sequence / Timeline</t>
        </is>
      </c>
      <c r="D75" s="48" t="inlineStr">
        <is>
          <t>P2</t>
        </is>
      </c>
      <c r="E75" s="48" t="inlineStr">
        <is>
          <t>Conditional</t>
        </is>
      </c>
      <c r="F75" s="48" t="inlineStr">
        <is>
          <t>UX / Accessibility</t>
        </is>
      </c>
      <c r="G75" s="48" t="inlineStr">
        <is>
          <t>Confirmed interaction/accessibility gap</t>
        </is>
      </c>
      <c r="H75" s="48" t="inlineStr">
        <is>
          <t>Yes</t>
        </is>
      </c>
      <c r="I75" s="48" t="inlineStr">
        <is>
          <t>Yes</t>
        </is>
      </c>
      <c r="J75" s="42" t="inlineStr">
        <is>
          <t>Add a visible playhead head/handle, enlarged invisible hit target, keyboard timecode input, and focusable scrub control</t>
        </is>
      </c>
      <c r="K75" s="42" t="inlineStr">
        <is>
          <t>The playhead is rendered as a one-pixel line without a dedicated grab handle or enlarged hit area. It can be difficult to locate and manipulate precisely, especially on high-DPI displays or for users with motor impairments.</t>
        </is>
      </c>
      <c r="L75" s="42" t="inlineStr">
        <is>
          <t>Add a visible playhead head/handle, enlarged invisible hit target, keyboard timecode input, and focusable scrub control.</t>
        </is>
      </c>
      <c r="M75" s="42" t="inlineStr">
        <is>
          <t>The playhead is easy to acquire at all zoom levels, can be moved by mouse and keyboard, and never disappears outside the visible timeline without a reveal action.</t>
        </is>
      </c>
      <c r="N75" s="42" t="inlineStr">
        <is>
          <t>client/src/components/SequenceEditorWorkspace.tsx — timeline playhead rendering</t>
        </is>
      </c>
      <c r="O75" s="42" t="inlineStr">
        <is>
          <t>https://github.com/tj1784/Premiere316_AI_Director_Prototype_v2.0.0/blob/17234f7bcc9687d12afa23fbb88c6eff5be7e2a9/client/src/components/SequenceEditorWorkspace.tsx</t>
        </is>
      </c>
      <c r="P75" s="42" t="inlineStr">
        <is>
          <t>Frontend + UX</t>
        </is>
      </c>
      <c r="Q75" s="42" t="inlineStr">
        <is>
          <t>G3 — Workflow efficiency &amp; declutter</t>
        </is>
      </c>
      <c r="R75" s="48" t="inlineStr">
        <is>
          <t>M</t>
        </is>
      </c>
      <c r="S75" s="42" t="str"/>
      <c r="T75" s="42" t="inlineStr">
        <is>
          <t>UAT-PLAY-019</t>
        </is>
      </c>
      <c r="U75" s="48" t="inlineStr">
        <is>
          <t>In Progress</t>
        </is>
      </c>
      <c r="V75" s="48" t="n">
        <v>40</v>
      </c>
      <c r="W75" s="42" t="str"/>
      <c r="X75" s="110" t="n"/>
      <c r="Y75" s="42" t="inlineStr">
        <is>
          <t>User QA plan</t>
        </is>
      </c>
      <c r="Z75" s="42" t="inlineStr">
        <is>
          <t>Implemented 2026-08-22: Playhead handle hit target added</t>
        </is>
      </c>
    </row>
    <row r="76" ht="62" customHeight="1">
      <c r="A76" s="42" t="inlineStr">
        <is>
          <t>SEQ-PLAY-012</t>
        </is>
      </c>
      <c r="B76" s="42" t="inlineStr">
        <is>
          <t>SEQ-PLAY-012</t>
        </is>
      </c>
      <c r="C76" s="42" t="inlineStr">
        <is>
          <t>Sequence / Timeline</t>
        </is>
      </c>
      <c r="D76" s="48" t="inlineStr">
        <is>
          <t>P2</t>
        </is>
      </c>
      <c r="E76" s="48" t="inlineStr">
        <is>
          <t>Conditional</t>
        </is>
      </c>
      <c r="F76" s="48" t="inlineStr">
        <is>
          <t>Enhancement</t>
        </is>
      </c>
      <c r="G76" s="48" t="inlineStr">
        <is>
          <t>Capability/usability gap</t>
        </is>
      </c>
      <c r="H76" s="48" t="inlineStr">
        <is>
          <t>Yes</t>
        </is>
      </c>
      <c r="I76" s="48" t="inlineStr">
        <is>
          <t>Yes</t>
        </is>
      </c>
      <c r="J76" s="42" t="inlineStr">
        <is>
          <t>Add fit controls, centered wheel/gesture zoom, playhead follow/reveal policy, and persisted zoom state</t>
        </is>
      </c>
      <c r="K76" s="42" t="inlineStr">
        <is>
          <t>Timeline zoom provides a basic slider but no fit-to-sequence, fit-selection, cursor-centered zoom, or automatic playhead reveal. Users can lose context or repeatedly scroll while reviewing long edits.</t>
        </is>
      </c>
      <c r="L76" s="42" t="inlineStr">
        <is>
          <t>Add fit controls, centered wheel/gesture zoom, playhead follow/reveal policy, and persisted zoom state.</t>
        </is>
      </c>
      <c r="M76" s="42" t="inlineStr">
        <is>
          <t>Zooming preserves the intended anchor, fit controls show the requested range, and playback never leaves the playhead unknowingly off-screen.</t>
        </is>
      </c>
      <c r="N76" s="42" t="inlineStr">
        <is>
          <t>client/src/components/SequenceEditorWorkspace.tsx — zoom slider and lane width logic</t>
        </is>
      </c>
      <c r="O76" s="42" t="inlineStr">
        <is>
          <t>https://github.com/tj1784/Premiere316_AI_Director_Prototype_v2.0.0/blob/17234f7bcc9687d12afa23fbb88c6eff5be7e2a9/client/src/components/SequenceEditorWorkspace.tsx</t>
        </is>
      </c>
      <c r="P76" s="42" t="inlineStr">
        <is>
          <t>Frontend</t>
        </is>
      </c>
      <c r="Q76" s="42" t="inlineStr">
        <is>
          <t>G3 — Workflow efficiency &amp; declutter</t>
        </is>
      </c>
      <c r="R76" s="48" t="inlineStr">
        <is>
          <t>M</t>
        </is>
      </c>
      <c r="S76" s="42" t="str"/>
      <c r="T76" s="42" t="inlineStr">
        <is>
          <t>UAT-PLAY-019</t>
        </is>
      </c>
      <c r="U76" s="48" t="inlineStr">
        <is>
          <t>Not Started</t>
        </is>
      </c>
      <c r="V76" s="48" t="n">
        <v>0</v>
      </c>
      <c r="W76" s="42" t="str"/>
      <c r="X76" s="110" t="n"/>
      <c r="Y76" s="42" t="inlineStr">
        <is>
          <t>User QA plan</t>
        </is>
      </c>
      <c r="Z76" s="42" t="str"/>
    </row>
    <row r="77" ht="62" customHeight="1">
      <c r="A77" s="42" t="inlineStr">
        <is>
          <t>UX-CONTAINER-004</t>
        </is>
      </c>
      <c r="B77" s="42" t="inlineStr">
        <is>
          <t>UX-CONTAINER-004</t>
        </is>
      </c>
      <c r="C77" s="42" t="inlineStr">
        <is>
          <t>Shared Container Stacking</t>
        </is>
      </c>
      <c r="D77" s="48" t="inlineStr">
        <is>
          <t>P2</t>
        </is>
      </c>
      <c r="E77" s="48" t="inlineStr">
        <is>
          <t>Conditional</t>
        </is>
      </c>
      <c r="F77" s="48" t="inlineStr">
        <is>
          <t>Frontend Platform</t>
        </is>
      </c>
      <c r="G77" s="48" t="inlineStr">
        <is>
          <t>Cross-cutting interaction risk</t>
        </is>
      </c>
      <c r="H77" s="48" t="inlineStr">
        <is>
          <t>Yes</t>
        </is>
      </c>
      <c r="I77" s="48" t="inlineStr">
        <is>
          <t>Yes</t>
        </is>
      </c>
      <c r="J77" s="42" t="inlineStr">
        <is>
          <t>Define one overlay manager with z-index tokens, portal ownership, iframe interaction shielding, nested-container rules, and one active modal boundary</t>
        </is>
      </c>
      <c r="K77" s="42" t="inlineStr">
        <is>
          <t>The plan permits drawers, modals, sheets, popovers, context menus, and embedded Comfy content, but no single stacking and ownership policy is defined. Nested overlays can appear under the iframe, trap focus incorrectly, or allow background actions.</t>
        </is>
      </c>
      <c r="L77" s="42" t="inlineStr">
        <is>
          <t>Define one overlay manager with z-index tokens, portal ownership, iframe interaction shielding, nested-container rules, and one active modal boundary.</t>
        </is>
      </c>
      <c r="M77" s="42" t="inlineStr">
        <is>
          <t>All container combinations render in the correct order, background content becomes inert when required, and focus never escapes a modal boundary.</t>
        </is>
      </c>
      <c r="N77" s="42" t="inlineStr">
        <is>
          <t>Current embedded iframe architecture plus decluttering proposal</t>
        </is>
      </c>
      <c r="O77" s="42" t="inlineStr">
        <is>
          <t>https://github.com/tj1784/Premiere316_AI_Director_Prototype_v2.0.0/commit/17234f7bcc9687d12afa23fbb88c6eff5be7e2a9</t>
        </is>
      </c>
      <c r="P77" s="42" t="inlineStr">
        <is>
          <t>Frontend Platform</t>
        </is>
      </c>
      <c r="Q77" s="42" t="inlineStr">
        <is>
          <t>G3 — Workflow efficiency &amp; declutter</t>
        </is>
      </c>
      <c r="R77" s="48" t="inlineStr">
        <is>
          <t>L</t>
        </is>
      </c>
      <c r="S77" s="42" t="inlineStr">
        <is>
          <t>UX-CONTAINER-001</t>
        </is>
      </c>
      <c r="T77" s="42" t="inlineStr">
        <is>
          <t>UAT-UX-004</t>
        </is>
      </c>
      <c r="U77" s="48" t="inlineStr">
        <is>
          <t>Not Started</t>
        </is>
      </c>
      <c r="V77" s="48" t="n">
        <v>0</v>
      </c>
      <c r="W77" s="42" t="str"/>
      <c r="X77" s="110" t="n"/>
      <c r="Y77" s="42" t="inlineStr">
        <is>
          <t>Decluttering pass</t>
        </is>
      </c>
      <c r="Z77" s="42" t="str"/>
    </row>
    <row r="78" ht="62" customHeight="1">
      <c r="A78" s="42" t="inlineStr">
        <is>
          <t>UX-CONTAINER-001</t>
        </is>
      </c>
      <c r="B78" s="42" t="inlineStr">
        <is>
          <t>UX-CONTAINER-001</t>
        </is>
      </c>
      <c r="C78" s="42" t="inlineStr">
        <is>
          <t>Shared Drawers / Modals / Sheets / Popovers</t>
        </is>
      </c>
      <c r="D78" s="48" t="inlineStr">
        <is>
          <t>P2</t>
        </is>
      </c>
      <c r="E78" s="48" t="inlineStr">
        <is>
          <t>Conditional</t>
        </is>
      </c>
      <c r="F78" s="48" t="inlineStr">
        <is>
          <t>Design System / Accessibility</t>
        </is>
      </c>
      <c r="G78" s="48" t="inlineStr">
        <is>
          <t>Cross-cutting implementation requirement</t>
        </is>
      </c>
      <c r="H78" s="48" t="inlineStr">
        <is>
          <t>Yes</t>
        </is>
      </c>
      <c r="I78" s="48" t="inlineStr">
        <is>
          <t>Yes</t>
        </is>
      </c>
      <c r="J78" s="42" t="inlineStr">
        <is>
          <t>Create a shared container standard/component layer covering focus entry/return, modal versus non-modal semantics, Escape, outside click, swipe, explicit close, scroll locking, dirty-state prompts, live-region use, and z-index ownership</t>
        </is>
      </c>
      <c r="K78" s="42" t="inlineStr">
        <is>
          <t>Secondary containers do not yet have one documented accessibility and interaction contract. Inconsistent Escape behavior, focus trapping, click-outside dismissal, return focus, dirty-state confirmation, and stacking can create new dead ends while decluttering.</t>
        </is>
      </c>
      <c r="L78" s="42" t="inlineStr">
        <is>
          <t>Create a shared container standard/component layer covering focus entry/return, modal versus non-modal semantics, Escape, outside click, swipe, explicit close, scroll locking, dirty-state prompts, live-region use, and z-index ownership.</t>
        </is>
      </c>
      <c r="M78" s="42" t="inlineStr">
        <is>
          <t>Every drawer/modal/sheet/popover passes keyboard, screen-reader, nested-container, resize, and unsaved-change tests using the same contract.</t>
        </is>
      </c>
      <c r="N78" s="42" t="inlineStr">
        <is>
          <t>User decluttering implementation guidelines</t>
        </is>
      </c>
      <c r="O78" s="42" t="inlineStr">
        <is>
          <t>https://github.com/tj1784/Premiere316_AI_Director_Prototype_v2.0.0/commit/17234f7bcc9687d12afa23fbb88c6eff5be7e2a9</t>
        </is>
      </c>
      <c r="P78" s="42" t="inlineStr">
        <is>
          <t>Frontend Platform + UX</t>
        </is>
      </c>
      <c r="Q78" s="42" t="inlineStr">
        <is>
          <t>G3 — Workflow efficiency &amp; declutter</t>
        </is>
      </c>
      <c r="R78" s="48" t="inlineStr">
        <is>
          <t>L</t>
        </is>
      </c>
      <c r="S78" s="42" t="str"/>
      <c r="T78" s="42" t="inlineStr">
        <is>
          <t>UAT-UX-004</t>
        </is>
      </c>
      <c r="U78" s="48" t="inlineStr">
        <is>
          <t>Not Started</t>
        </is>
      </c>
      <c r="V78" s="48" t="n">
        <v>0</v>
      </c>
      <c r="W78" s="42" t="str"/>
      <c r="X78" s="110" t="n"/>
      <c r="Y78" s="42" t="inlineStr">
        <is>
          <t>Decluttering pass</t>
        </is>
      </c>
      <c r="Z78" s="42" t="str"/>
    </row>
    <row r="79" ht="62" customHeight="1">
      <c r="A79" s="42" t="inlineStr">
        <is>
          <t>COMFY-017</t>
        </is>
      </c>
      <c r="B79" s="42" t="inlineStr">
        <is>
          <t>COMFY-017</t>
        </is>
      </c>
      <c r="C79" s="42" t="inlineStr">
        <is>
          <t>Comfy Picker</t>
        </is>
      </c>
      <c r="D79" s="48" t="inlineStr">
        <is>
          <t>P3</t>
        </is>
      </c>
      <c r="E79" s="48" t="inlineStr">
        <is>
          <t>No</t>
        </is>
      </c>
      <c r="F79" s="48" t="inlineStr">
        <is>
          <t>Comfy Integration</t>
        </is>
      </c>
      <c r="G79" s="48" t="inlineStr">
        <is>
          <t>Information architecture gap</t>
        </is>
      </c>
      <c r="H79" s="48" t="inlineStr">
        <is>
          <t>Yes</t>
        </is>
      </c>
      <c r="I79" s="48" t="inlineStr">
        <is>
          <t>No</t>
        </is>
      </c>
      <c r="J79" s="42" t="inlineStr">
        <is>
          <t>Add Recommended badge and reset-to-default action</t>
        </is>
      </c>
      <c r="K79" s="42" t="inlineStr">
        <is>
          <t>defaultForAsset is collected but not surfaced meaningfully in the picker UI. Users cannot tell which workflow is recommended.</t>
        </is>
      </c>
      <c r="L79" s="42" t="inlineStr">
        <is>
          <t>Add Recommended badge and reset-to-default action.</t>
        </is>
      </c>
      <c r="M79" s="42" t="inlineStr">
        <is>
          <t>Recommended workflow is visible and keyboard reachable.</t>
        </is>
      </c>
      <c r="N79" s="42" t="inlineStr">
        <is>
          <t>Comfy workflow data/rendering</t>
        </is>
      </c>
      <c r="O79" s="42" t="inlineStr">
        <is>
          <t>https://github.com/tj1784/Premiere316_AI_Director_Prototype_v2.0.0/commit/17234f7bcc9687d12afa23fbb88c6eff5be7e2a9</t>
        </is>
      </c>
      <c r="P79" s="42" t="inlineStr">
        <is>
          <t>Comfy Integration + Frontend</t>
        </is>
      </c>
      <c r="Q79" s="42" t="inlineStr">
        <is>
          <t>G3 — Workflow efficiency &amp; declutter</t>
        </is>
      </c>
      <c r="R79" s="48" t="inlineStr">
        <is>
          <t>S</t>
        </is>
      </c>
      <c r="S79" s="42" t="inlineStr">
        <is>
          <t>COMFY-016</t>
        </is>
      </c>
      <c r="T79" s="42" t="inlineStr">
        <is>
          <t>UAT-COMFY-018</t>
        </is>
      </c>
      <c r="U79" s="48" t="inlineStr">
        <is>
          <t>Not Started</t>
        </is>
      </c>
      <c r="V79" s="48" t="n">
        <v>0</v>
      </c>
      <c r="W79" s="42" t="str"/>
      <c r="X79" s="110" t="n"/>
      <c r="Y79" s="42" t="inlineStr">
        <is>
          <t>Existing 74-item source audit</t>
        </is>
      </c>
      <c r="Z79" s="42" t="str"/>
    </row>
    <row r="80" ht="62" customHeight="1">
      <c r="A80" s="42" t="inlineStr">
        <is>
          <t>COMFY-020</t>
        </is>
      </c>
      <c r="B80" s="42" t="inlineStr">
        <is>
          <t>COMFY-020</t>
        </is>
      </c>
      <c r="C80" s="42" t="inlineStr">
        <is>
          <t>Comfy Picker</t>
        </is>
      </c>
      <c r="D80" s="48" t="inlineStr">
        <is>
          <t>P3</t>
        </is>
      </c>
      <c r="E80" s="48" t="inlineStr">
        <is>
          <t>No</t>
        </is>
      </c>
      <c r="F80" s="48" t="inlineStr">
        <is>
          <t>Comfy Integration</t>
        </is>
      </c>
      <c r="G80" s="48" t="inlineStr">
        <is>
          <t>Provenance gap</t>
        </is>
      </c>
      <c r="H80" s="48" t="inlineStr">
        <is>
          <t>Yes</t>
        </is>
      </c>
      <c r="I80" s="48" t="inlineStr">
        <is>
          <t>No</t>
        </is>
      </c>
      <c r="J80" s="42" t="inlineStr">
        <is>
          <t>Show immutable identity and copyable diagnostics</t>
        </is>
      </c>
      <c r="K80" s="42" t="inlineStr">
        <is>
          <t>After load, the UI does not prominently show graph source, version/hash, or local-versus-packaged origin. Reproduction and support are difficult.</t>
        </is>
      </c>
      <c r="L80" s="42" t="inlineStr">
        <is>
          <t>Show immutable identity and copyable diagnostics.</t>
        </is>
      </c>
      <c r="M80" s="42" t="inlineStr">
        <is>
          <t>A screenshot/log can identify the exact loaded graph.</t>
        </is>
      </c>
      <c r="N80" s="42" t="inlineStr">
        <is>
          <t>Comfy toolbar status content</t>
        </is>
      </c>
      <c r="O80" s="42" t="inlineStr">
        <is>
          <t>https://github.com/tj1784/Premiere316_AI_Director_Prototype_v2.0.0/commit/17234f7bcc9687d12afa23fbb88c6eff5be7e2a9</t>
        </is>
      </c>
      <c r="P80" s="42" t="inlineStr">
        <is>
          <t>Comfy Integration + Frontend</t>
        </is>
      </c>
      <c r="Q80" s="42" t="inlineStr">
        <is>
          <t>G3 — Workflow efficiency &amp; declutter</t>
        </is>
      </c>
      <c r="R80" s="48" t="inlineStr">
        <is>
          <t>S</t>
        </is>
      </c>
      <c r="S80" s="42" t="inlineStr">
        <is>
          <t>COMFY-001,COMFY-003</t>
        </is>
      </c>
      <c r="T80" s="42" t="inlineStr">
        <is>
          <t>UAT-COMFY-020</t>
        </is>
      </c>
      <c r="U80" s="48" t="inlineStr">
        <is>
          <t>Done</t>
        </is>
      </c>
      <c r="V80" s="48" t="n">
        <v>100</v>
      </c>
      <c r="W80" s="42" t="str"/>
      <c r="X80" s="110" t="n"/>
      <c r="Y80" s="42" t="inlineStr">
        <is>
          <t>Existing 74-item source audit</t>
        </is>
      </c>
      <c r="Z80" s="42" t="inlineStr">
        <is>
          <t>Implemented 2026-08-22: Loaded source/hash shown in toolbar</t>
        </is>
      </c>
    </row>
    <row r="81" ht="62" customHeight="1">
      <c r="A81" s="42" t="inlineStr">
        <is>
          <t>TAKE-005</t>
        </is>
      </c>
      <c r="B81" s="42" t="inlineStr">
        <is>
          <t>TAKE-005</t>
        </is>
      </c>
      <c r="C81" s="42" t="inlineStr">
        <is>
          <t>Sequence / Takes</t>
        </is>
      </c>
      <c r="D81" s="48" t="inlineStr">
        <is>
          <t>P3</t>
        </is>
      </c>
      <c r="E81" s="48" t="inlineStr">
        <is>
          <t>No</t>
        </is>
      </c>
      <c r="F81" s="48" t="inlineStr">
        <is>
          <t>Takes / UX</t>
        </is>
      </c>
      <c r="G81" s="48" t="inlineStr">
        <is>
          <t>Visual semantics weakness</t>
        </is>
      </c>
      <c r="H81" s="48" t="inlineStr">
        <is>
          <t>Yes</t>
        </is>
      </c>
      <c r="I81" s="48" t="inlineStr">
        <is>
          <t>No</t>
        </is>
      </c>
      <c r="J81" s="42" t="inlineStr">
        <is>
          <t>Use larger labeled state chips and selected-target linkage</t>
        </is>
      </c>
      <c r="K81" s="42" t="inlineStr">
        <is>
          <t>Active/Latest status is conveyed with very small badges and weak hierarchy. Status is hard to scan and easy to misread.</t>
        </is>
      </c>
      <c r="L81" s="42" t="inlineStr">
        <is>
          <t>Use larger labeled state chips and selected-target linkage.</t>
        </is>
      </c>
      <c r="M81" s="42" t="inlineStr">
        <is>
          <t>Status is legible at 100%, 125%, and 150% scaling.</t>
        </is>
      </c>
      <c r="N81" s="42" t="inlineStr">
        <is>
          <t>Sequence editor media card badge rendering</t>
        </is>
      </c>
      <c r="O81" s="42" t="inlineStr">
        <is>
          <t>https://github.com/tj1784/Premiere316_AI_Director_Prototype_v2.0.0/commit/17234f7bcc9687d12afa23fbb88c6eff5be7e2a9</t>
        </is>
      </c>
      <c r="P81" s="42" t="inlineStr">
        <is>
          <t>Product + Frontend</t>
        </is>
      </c>
      <c r="Q81" s="42" t="inlineStr">
        <is>
          <t>G3 — Workflow efficiency &amp; declutter</t>
        </is>
      </c>
      <c r="R81" s="48" t="inlineStr">
        <is>
          <t>M</t>
        </is>
      </c>
      <c r="S81" s="42" t="str"/>
      <c r="T81" s="42" t="inlineStr">
        <is>
          <t>UAT-TAKE-008</t>
        </is>
      </c>
      <c r="U81" s="48" t="inlineStr">
        <is>
          <t>Not Started</t>
        </is>
      </c>
      <c r="V81" s="48" t="n">
        <v>0</v>
      </c>
      <c r="W81" s="42" t="str"/>
      <c r="X81" s="110" t="n"/>
      <c r="Y81" s="42" t="inlineStr">
        <is>
          <t>Existing 74-item source audit</t>
        </is>
      </c>
      <c r="Z81" s="42" t="str"/>
    </row>
    <row r="82" ht="62" customHeight="1">
      <c r="A82" s="42" t="inlineStr">
        <is>
          <t>TAKE-006</t>
        </is>
      </c>
      <c r="B82" s="42" t="inlineStr">
        <is>
          <t>TAKE-006</t>
        </is>
      </c>
      <c r="C82" s="42" t="inlineStr">
        <is>
          <t>Sequence / Takes</t>
        </is>
      </c>
      <c r="D82" s="48" t="inlineStr">
        <is>
          <t>P3</t>
        </is>
      </c>
      <c r="E82" s="48" t="inlineStr">
        <is>
          <t>No</t>
        </is>
      </c>
      <c r="F82" s="48" t="inlineStr">
        <is>
          <t>Takes / UX</t>
        </is>
      </c>
      <c r="G82" s="48" t="inlineStr">
        <is>
          <t>Preference persistence gap</t>
        </is>
      </c>
      <c r="H82" s="48" t="inlineStr">
        <is>
          <t>Yes</t>
        </is>
      </c>
      <c r="I82" s="48" t="inlineStr">
        <is>
          <t>No</t>
        </is>
      </c>
      <c r="J82" s="42" t="inlineStr">
        <is>
          <t>Persist a project/user preference with a safe default</t>
        </is>
      </c>
      <c r="K82" s="42" t="inlineStr">
        <is>
          <t>Take filter choice is not persisted per user/project. Users repeatedly restore their preferred review mode.</t>
        </is>
      </c>
      <c r="L82" s="42" t="inlineStr">
        <is>
          <t>Persist a project/user preference with a safe default.</t>
        </is>
      </c>
      <c r="M82" s="42" t="inlineStr">
        <is>
          <t>The chosen filter restores after navigation and relaunch.</t>
        </is>
      </c>
      <c r="N82" s="42" t="inlineStr">
        <is>
          <t>takeFilter local component state</t>
        </is>
      </c>
      <c r="O82" s="42" t="inlineStr">
        <is>
          <t>https://github.com/tj1784/Premiere316_AI_Director_Prototype_v2.0.0/commit/17234f7bcc9687d12afa23fbb88c6eff5be7e2a9</t>
        </is>
      </c>
      <c r="P82" s="42" t="inlineStr">
        <is>
          <t>Product + Frontend</t>
        </is>
      </c>
      <c r="Q82" s="42" t="inlineStr">
        <is>
          <t>G3 — Workflow efficiency &amp; declutter</t>
        </is>
      </c>
      <c r="R82" s="48" t="inlineStr">
        <is>
          <t>S</t>
        </is>
      </c>
      <c r="S82" s="42" t="str"/>
      <c r="T82" s="42" t="inlineStr">
        <is>
          <t>UAT-TAKE-010</t>
        </is>
      </c>
      <c r="U82" s="48" t="inlineStr">
        <is>
          <t>Done</t>
        </is>
      </c>
      <c r="V82" s="48" t="n">
        <v>100</v>
      </c>
      <c r="W82" s="42" t="str"/>
      <c r="X82" s="110" t="n"/>
      <c r="Y82" s="42" t="inlineStr">
        <is>
          <t>Existing 74-item source audit</t>
        </is>
      </c>
      <c r="Z82" s="42" t="inlineStr">
        <is>
          <t>Implemented 2026-08-22: Persisted per-project in localStorage</t>
        </is>
      </c>
    </row>
    <row r="83" ht="62" customHeight="1">
      <c r="A83" s="42" t="inlineStr">
        <is>
          <t>TAKE-008</t>
        </is>
      </c>
      <c r="B83" s="42" t="inlineStr">
        <is>
          <t>TAKE-008</t>
        </is>
      </c>
      <c r="C83" s="42" t="inlineStr">
        <is>
          <t>Sequence / Takes</t>
        </is>
      </c>
      <c r="D83" s="48" t="inlineStr">
        <is>
          <t>P3</t>
        </is>
      </c>
      <c r="E83" s="48" t="inlineStr">
        <is>
          <t>No</t>
        </is>
      </c>
      <c r="F83" s="48" t="inlineStr">
        <is>
          <t>Enhancement / UX Redesign</t>
        </is>
      </c>
      <c r="G83" s="48" t="inlineStr">
        <is>
          <t>Future capability</t>
        </is>
      </c>
      <c r="H83" s="48" t="inlineStr">
        <is>
          <t>Yes</t>
        </is>
      </c>
      <c r="I83" s="48" t="inlineStr">
        <is>
          <t>Yes</t>
        </is>
      </c>
      <c r="J83" s="42" t="inlineStr">
        <is>
          <t>Add metadata only after the take model is approved, preferably in a non-modal details drawer with searchable fields and minimal card chrome</t>
        </is>
      </c>
      <c r="K83" s="42" t="inlineStr">
        <is>
          <t>Take notes, rating, tags, color labels, and metadata search are not available. Reviewers cannot build a lightweight editorial decision record inside the application.</t>
        </is>
      </c>
      <c r="L83" s="42" t="inlineStr">
        <is>
          <t>Add metadata only after the take model is approved, preferably in a non-modal details drawer with searchable fields and minimal card chrome.</t>
        </is>
      </c>
      <c r="M83" s="42" t="inlineStr">
        <is>
          <t>Metadata persists, is searchable, is included in export/diagnostics, and does not obscure the take list.</t>
        </is>
      </c>
      <c r="N83" s="42" t="inlineStr">
        <is>
          <t>Current take/media card and inspector feature set</t>
        </is>
      </c>
      <c r="O83" s="42" t="inlineStr">
        <is>
          <t>https://github.com/tj1784/Premiere316_AI_Director_Prototype_v2.0.0/commit/17234f7bcc9687d12afa23fbb88c6eff5be7e2a9</t>
        </is>
      </c>
      <c r="P83" s="42" t="inlineStr">
        <is>
          <t>Product + Frontend</t>
        </is>
      </c>
      <c r="Q83" s="42" t="inlineStr">
        <is>
          <t>G3 — Workflow efficiency &amp; declutter</t>
        </is>
      </c>
      <c r="R83" s="48" t="inlineStr">
        <is>
          <t>L</t>
        </is>
      </c>
      <c r="S83" s="42" t="inlineStr">
        <is>
          <t>TAKE-007,UX-DECLUTTER-001</t>
        </is>
      </c>
      <c r="T83" s="42" t="inlineStr">
        <is>
          <t>UAT-TAKE-013</t>
        </is>
      </c>
      <c r="U83" s="48" t="inlineStr">
        <is>
          <t>Not Started</t>
        </is>
      </c>
      <c r="V83" s="48" t="n">
        <v>0</v>
      </c>
      <c r="W83" s="42" t="str"/>
      <c r="X83" s="110" t="n"/>
      <c r="Y83" s="42" t="inlineStr">
        <is>
          <t>User QA plan</t>
        </is>
      </c>
      <c r="Z83" s="42" t="str"/>
    </row>
    <row r="84" ht="62" customHeight="1">
      <c r="A84" s="42" t="inlineStr">
        <is>
          <t>SEQ-PLAY-015</t>
        </is>
      </c>
      <c r="B84" s="42" t="inlineStr">
        <is>
          <t>SEQ-PLAY-015</t>
        </is>
      </c>
      <c r="C84" s="42" t="inlineStr">
        <is>
          <t>Sequence / Transport</t>
        </is>
      </c>
      <c r="D84" s="48" t="inlineStr">
        <is>
          <t>P3</t>
        </is>
      </c>
      <c r="E84" s="48" t="inlineStr">
        <is>
          <t>No</t>
        </is>
      </c>
      <c r="F84" s="48" t="inlineStr">
        <is>
          <t>Enhancement</t>
        </is>
      </c>
      <c r="G84" s="48" t="inlineStr">
        <is>
          <t>Future capability</t>
        </is>
      </c>
      <c r="H84" s="48" t="inlineStr">
        <is>
          <t>Yes</t>
        </is>
      </c>
      <c r="I84" s="48" t="inlineStr">
        <is>
          <t>Yes</t>
        </is>
      </c>
      <c r="J84" s="42" t="inlineStr">
        <is>
          <t>Add only the approved loop modes behind an advanced-transport popover, with a persistent visible loop state and keyboard shortcut</t>
        </is>
      </c>
      <c r="K84" s="42" t="inlineStr">
        <is>
          <t>There is no loop mode for the sequence, selected clip, or marked range. Repeated review requires manual repositioning and makes take comparison slower.</t>
        </is>
      </c>
      <c r="L84" s="42" t="inlineStr">
        <is>
          <t>Add only the approved loop modes behind an advanced-transport popover, with a persistent visible loop state and keyboard shortcut.</t>
        </is>
      </c>
      <c r="M84" s="42" t="inlineStr">
        <is>
          <t>Loop boundaries are sample/frame accurate within the preview tolerance and leaving loop mode is obvious.</t>
        </is>
      </c>
      <c r="N84" s="42" t="inlineStr">
        <is>
          <t>Sequence transport capability set</t>
        </is>
      </c>
      <c r="O84" s="42" t="inlineStr">
        <is>
          <t>https://github.com/tj1784/Premiere316_AI_Director_Prototype_v2.0.0/commit/17234f7bcc9687d12afa23fbb88c6eff5be7e2a9</t>
        </is>
      </c>
      <c r="P84" s="42" t="inlineStr">
        <is>
          <t>Frontend + Media Engine</t>
        </is>
      </c>
      <c r="Q84" s="42" t="inlineStr">
        <is>
          <t>G3 — Workflow efficiency &amp; declutter</t>
        </is>
      </c>
      <c r="R84" s="48" t="inlineStr">
        <is>
          <t>L</t>
        </is>
      </c>
      <c r="S84" s="42" t="str"/>
      <c r="T84" s="42" t="inlineStr">
        <is>
          <t>UAT-PLAY-018</t>
        </is>
      </c>
      <c r="U84" s="48" t="inlineStr">
        <is>
          <t>Not Started</t>
        </is>
      </c>
      <c r="V84" s="48" t="n">
        <v>0</v>
      </c>
      <c r="W84" s="42" t="str"/>
      <c r="X84" s="110" t="n"/>
      <c r="Y84" s="42" t="inlineStr">
        <is>
          <t>User QA plan</t>
        </is>
      </c>
      <c r="Z84" s="42" t="str"/>
    </row>
    <row r="85" ht="62" customHeight="1">
      <c r="A85" s="42" t="inlineStr">
        <is>
          <t>UX-CONTAINER-002</t>
        </is>
      </c>
      <c r="B85" s="42" t="inlineStr">
        <is>
          <t>UX-CONTAINER-002</t>
        </is>
      </c>
      <c r="C85" s="42" t="inlineStr">
        <is>
          <t>Shared First-use Guidance</t>
        </is>
      </c>
      <c r="D85" s="48" t="inlineStr">
        <is>
          <t>P3</t>
        </is>
      </c>
      <c r="E85" s="48" t="inlineStr">
        <is>
          <t>No</t>
        </is>
      </c>
      <c r="F85" s="48" t="inlineStr">
        <is>
          <t>UX Polish</t>
        </is>
      </c>
      <c r="G85" s="48" t="inlineStr">
        <is>
          <t>UX polish requirement</t>
        </is>
      </c>
      <c r="H85" s="48" t="inlineStr">
        <is>
          <t>Yes</t>
        </is>
      </c>
      <c r="I85" s="48" t="inlineStr">
        <is>
          <t>Yes</t>
        </is>
      </c>
      <c r="J85" s="42" t="inlineStr">
        <is>
          <t>Use one-time, dismissible coach marks tied to successful task completion, with a Help entry to replay them deliberately</t>
        </is>
      </c>
      <c r="K85" s="42" t="inlineStr">
        <is>
          <t>First-use guidance can become recurring permanent noise unless completion is remembered. Repeated coach marks or instructional modals frustrate experienced users and obscure production work.</t>
        </is>
      </c>
      <c r="L85" s="42" t="inlineStr">
        <is>
          <t>Use one-time, dismissible coach marks tied to successful task completion, with a Help entry to replay them deliberately.</t>
        </is>
      </c>
      <c r="M85" s="42" t="inlineStr">
        <is>
          <t>After the first successful use, guidance does not reappear automatically for that user/project version; Reset help restores it.</t>
        </is>
      </c>
      <c r="N85" s="42" t="inlineStr">
        <is>
          <t>User decluttering implementation guidelines</t>
        </is>
      </c>
      <c r="O85" s="42" t="inlineStr">
        <is>
          <t>https://github.com/tj1784/Premiere316_AI_Director_Prototype_v2.0.0/commit/17234f7bcc9687d12afa23fbb88c6eff5be7e2a9</t>
        </is>
      </c>
      <c r="P85" s="42" t="inlineStr">
        <is>
          <t>Frontend + UX</t>
        </is>
      </c>
      <c r="Q85" s="42" t="inlineStr">
        <is>
          <t>G3 — Workflow efficiency &amp; declutter</t>
        </is>
      </c>
      <c r="R85" s="48" t="inlineStr">
        <is>
          <t>S</t>
        </is>
      </c>
      <c r="S85" s="42" t="inlineStr">
        <is>
          <t>UX-CONTAINER-001</t>
        </is>
      </c>
      <c r="T85" s="42" t="inlineStr">
        <is>
          <t>UAT-UX-005</t>
        </is>
      </c>
      <c r="U85" s="48" t="inlineStr">
        <is>
          <t>Not Started</t>
        </is>
      </c>
      <c r="V85" s="48" t="n">
        <v>0</v>
      </c>
      <c r="W85" s="42" t="str"/>
      <c r="X85" s="110" t="n"/>
      <c r="Y85" s="42" t="inlineStr">
        <is>
          <t>Decluttering pass</t>
        </is>
      </c>
      <c r="Z85" s="42" t="str"/>
    </row>
    <row r="86" ht="62" customHeight="1">
      <c r="A86" s="42" t="inlineStr">
        <is>
          <t>QA-001</t>
        </is>
      </c>
      <c r="B86" s="42" t="inlineStr">
        <is>
          <t>QA-001</t>
        </is>
      </c>
      <c r="C86" s="42" t="inlineStr">
        <is>
          <t>Release Engineering</t>
        </is>
      </c>
      <c r="D86" s="48" t="inlineStr">
        <is>
          <t>P1</t>
        </is>
      </c>
      <c r="E86" s="48" t="inlineStr">
        <is>
          <t>Yes</t>
        </is>
      </c>
      <c r="F86" s="48" t="inlineStr">
        <is>
          <t>QA / Release</t>
        </is>
      </c>
      <c r="G86" s="48" t="inlineStr">
        <is>
          <t>Confirmed process gap</t>
        </is>
      </c>
      <c r="H86" s="48" t="inlineStr">
        <is>
          <t>Yes</t>
        </is>
      </c>
      <c r="I86" s="48" t="inlineStr">
        <is>
          <t>No</t>
        </is>
      </c>
      <c r="J86" s="42" t="inlineStr">
        <is>
          <t>Add real Playwright browser tests, API contract tests, accessibility checks, and required branch protection on one canonical release branch</t>
        </is>
      </c>
      <c r="K86" s="42" t="inlineStr">
        <is>
          <t>No behavioral browser tests cover play, cuts, takes, folder drop, or the Comfy picker; the commit has no CI status/workflow run, and main/master have no required checks. The primary advertised workflows can regress while both release branches still accept the commit.</t>
        </is>
      </c>
      <c r="L86" s="42" t="inlineStr">
        <is>
          <t>Add real Playwright browser tests, API contract tests, accessibility checks, and required branch protection on one canonical release branch.</t>
        </is>
      </c>
      <c r="M86" s="42" t="inlineStr">
        <is>
          <t>The P1 acceptance cases run in CI and must pass before merge; main and master cannot advance without the required checks.</t>
        </is>
      </c>
      <c r="N86" s="42" t="inlineStr">
        <is>
          <t>tests/sequence-editor-ui.test.mjs; tests/e2e/uat-harness.mjs; tests/e2e/uat-p0.browser.mjs; package.json; branch/status metadata</t>
        </is>
      </c>
      <c r="O86" s="42" t="inlineStr">
        <is>
          <t>https://github.com/tj1784/Premiere316_AI_Director_Prototype_v2.0.0/blob/17234f7bcc9687d12afa23fbb88c6eff5be7e2a9/tests/sequence-editor-ui.test.mjs
https://github.com/tj1784/Premiere316_AI_Director_Prototype_v2.0.0/blob/17234f7bcc9687d12afa23fbb88c6eff5be7e2a9/tests/e2e/uat-harness.mjs
https://github.com/tj1784/Premiere316_AI_Director_Prototype_v2.0.0/blob/17234f7bcc9687d12afa23fbb88c6eff5be7e2a9/tests/e2e/uat-p0.browser.mjs</t>
        </is>
      </c>
      <c r="P86" s="42" t="inlineStr">
        <is>
          <t>QA Automation + DevOps</t>
        </is>
      </c>
      <c r="Q86" s="42" t="inlineStr">
        <is>
          <t>G4 — Accessibility &amp; release gates</t>
        </is>
      </c>
      <c r="R86" s="48" t="inlineStr">
        <is>
          <t>L</t>
        </is>
      </c>
      <c r="S86" s="42" t="str"/>
      <c r="T86" s="42" t="inlineStr">
        <is>
          <t>UAT-REG-002,UAT-REG-006</t>
        </is>
      </c>
      <c r="U86" s="48" t="inlineStr">
        <is>
          <t>In Progress</t>
        </is>
      </c>
      <c r="V86" s="48" t="n">
        <v>45</v>
      </c>
      <c r="W86" s="42" t="str"/>
      <c r="X86" s="110" t="n"/>
      <c r="Y86" s="42" t="inlineStr">
        <is>
          <t>Existing 74-item source audit</t>
        </is>
      </c>
      <c r="Z86" s="42" t="inlineStr">
        <is>
          <t>Implemented 2026-08-22: CI workflow + unit tests; Playwright browser UAT not added</t>
        </is>
      </c>
    </row>
    <row r="87" ht="62" customHeight="1">
      <c r="A87" s="42" t="inlineStr">
        <is>
          <t>A11Y-001</t>
        </is>
      </c>
      <c r="B87" s="42" t="inlineStr">
        <is>
          <t>A11Y-001</t>
        </is>
      </c>
      <c r="C87" s="42" t="inlineStr">
        <is>
          <t>Accessibility</t>
        </is>
      </c>
      <c r="D87" s="48" t="inlineStr">
        <is>
          <t>P2</t>
        </is>
      </c>
      <c r="E87" s="48" t="inlineStr">
        <is>
          <t>Conditional</t>
        </is>
      </c>
      <c r="F87" s="48" t="inlineStr">
        <is>
          <t>Accessibility</t>
        </is>
      </c>
      <c r="G87" s="48" t="inlineStr">
        <is>
          <t>Confirmed semantic gap</t>
        </is>
      </c>
      <c r="H87" s="48" t="inlineStr">
        <is>
          <t>Yes</t>
        </is>
      </c>
      <c r="I87" s="48" t="inlineStr">
        <is>
          <t>No</t>
        </is>
      </c>
      <c r="J87" s="42" t="inlineStr">
        <is>
          <t>Add accessible names, titles/tooltips, and consistent icon+label semantics</t>
        </is>
      </c>
      <c r="K87" s="42" t="inlineStr">
        <is>
          <t>Several glyph-only transport/action controls lack robust accessible names and visible tooltips. Screen-reader and unfamiliar users cannot identify controls.</t>
        </is>
      </c>
      <c r="L87" s="42" t="inlineStr">
        <is>
          <t>Add accessible names, titles/tooltips, and consistent icon+label semantics.</t>
        </is>
      </c>
      <c r="M87" s="42" t="inlineStr">
        <is>
          <t>Automated name/role checks pass and a screen reader announces every control distinctly.</t>
        </is>
      </c>
      <c r="N87" s="42" t="inlineStr">
        <is>
          <t>Sequence editor transport/action button JSX</t>
        </is>
      </c>
      <c r="O87" s="42" t="inlineStr">
        <is>
          <t>https://github.com/tj1784/Premiere316_AI_Director_Prototype_v2.0.0/commit/17234f7bcc9687d12afa23fbb88c6eff5be7e2a9</t>
        </is>
      </c>
      <c r="P87" s="42" t="inlineStr">
        <is>
          <t>Frontend + Accessibility QA</t>
        </is>
      </c>
      <c r="Q87" s="42" t="inlineStr">
        <is>
          <t>G4 — Accessibility &amp; release gates</t>
        </is>
      </c>
      <c r="R87" s="48" t="inlineStr">
        <is>
          <t>M</t>
        </is>
      </c>
      <c r="S87" s="42" t="str"/>
      <c r="T87" s="42" t="inlineStr">
        <is>
          <t>UAT-A11Y-002</t>
        </is>
      </c>
      <c r="U87" s="48" t="inlineStr">
        <is>
          <t>In Progress</t>
        </is>
      </c>
      <c r="V87" s="48" t="n">
        <v>30</v>
      </c>
      <c r="W87" s="42" t="str"/>
      <c r="X87" s="110" t="n"/>
      <c r="Y87" s="42" t="inlineStr">
        <is>
          <t>Existing 74-item source audit</t>
        </is>
      </c>
      <c r="Z87" s="42" t="inlineStr">
        <is>
          <t>Implemented 2026-08-22: Play/import/take controls named; many glyphs remain</t>
        </is>
      </c>
    </row>
    <row r="88" ht="62" customHeight="1">
      <c r="A88" s="42" t="inlineStr">
        <is>
          <t>A11Y-007</t>
        </is>
      </c>
      <c r="B88" s="42" t="inlineStr">
        <is>
          <t>A11Y-007</t>
        </is>
      </c>
      <c r="C88" s="42" t="inlineStr">
        <is>
          <t>Accessibility / Contrast</t>
        </is>
      </c>
      <c r="D88" s="48" t="inlineStr">
        <is>
          <t>P2</t>
        </is>
      </c>
      <c r="E88" s="48" t="inlineStr">
        <is>
          <t>Conditional</t>
        </is>
      </c>
      <c r="F88" s="48" t="inlineStr">
        <is>
          <t>Accessibility</t>
        </is>
      </c>
      <c r="G88" s="48" t="inlineStr">
        <is>
          <t>Requires rendered measurement</t>
        </is>
      </c>
      <c r="H88" s="48" t="inlineStr">
        <is>
          <t>Yes</t>
        </is>
      </c>
      <c r="I88" s="48" t="inlineStr">
        <is>
          <t>No</t>
        </is>
      </c>
      <c r="J88" s="42" t="inlineStr">
        <is>
          <t>Run rendered WCAG contrast checks and adjust semantic tokens</t>
        </is>
      </c>
      <c r="K88" s="42" t="inlineStr">
        <is>
          <t>Muted small text and dense dark-theme controls appear at risk of insufficient contrast. Status, metadata, and disabled/enabled distinctions may be hard to perceive.</t>
        </is>
      </c>
      <c r="L88" s="42" t="inlineStr">
        <is>
          <t>Run rendered WCAG contrast checks and adjust semantic tokens.</t>
        </is>
      </c>
      <c r="M88" s="42" t="inlineStr">
        <is>
          <t>Text and control boundaries meet the chosen WCAG AA targets.</t>
        </is>
      </c>
      <c r="N88" s="42" t="inlineStr">
        <is>
          <t>Static style review; live color sampling not available</t>
        </is>
      </c>
      <c r="O88" s="42" t="inlineStr">
        <is>
          <t>https://github.com/tj1784/Premiere316_AI_Director_Prototype_v2.0.0/commit/17234f7bcc9687d12afa23fbb88c6eff5be7e2a9</t>
        </is>
      </c>
      <c r="P88" s="42" t="inlineStr">
        <is>
          <t>Frontend + Accessibility QA</t>
        </is>
      </c>
      <c r="Q88" s="42" t="inlineStr">
        <is>
          <t>G4 — Accessibility &amp; release gates</t>
        </is>
      </c>
      <c r="R88" s="48" t="inlineStr">
        <is>
          <t>M</t>
        </is>
      </c>
      <c r="S88" s="42" t="str"/>
      <c r="T88" s="42" t="inlineStr">
        <is>
          <t>UAT-A11Y-005</t>
        </is>
      </c>
      <c r="U88" s="48" t="inlineStr">
        <is>
          <t>Not Started</t>
        </is>
      </c>
      <c r="V88" s="48" t="n">
        <v>0</v>
      </c>
      <c r="W88" s="42" t="str"/>
      <c r="X88" s="110" t="n"/>
      <c r="Y88" s="42" t="inlineStr">
        <is>
          <t>Existing 74-item source audit</t>
        </is>
      </c>
      <c r="Z88" s="42" t="str"/>
    </row>
    <row r="89" ht="62" customHeight="1">
      <c r="A89" s="42" t="inlineStr">
        <is>
          <t>A11Y-013</t>
        </is>
      </c>
      <c r="B89" s="42" t="inlineStr">
        <is>
          <t>A11Y-013</t>
        </is>
      </c>
      <c r="C89" s="42" t="inlineStr">
        <is>
          <t>Accessibility / Forced Colors</t>
        </is>
      </c>
      <c r="D89" s="48" t="inlineStr">
        <is>
          <t>P2</t>
        </is>
      </c>
      <c r="E89" s="48" t="inlineStr">
        <is>
          <t>Conditional</t>
        </is>
      </c>
      <c r="F89" s="48" t="inlineStr">
        <is>
          <t>Accessibility</t>
        </is>
      </c>
      <c r="G89" s="48" t="inlineStr">
        <is>
          <t>Missing execution evidence</t>
        </is>
      </c>
      <c r="H89" s="48" t="inlineStr">
        <is>
          <t>Yes</t>
        </is>
      </c>
      <c r="I89" s="48" t="inlineStr">
        <is>
          <t>Yes</t>
        </is>
      </c>
      <c r="J89" s="42" t="inlineStr">
        <is>
          <t>Add forced-colors-safe borders/text/icons and validate that state never relies on color alone</t>
        </is>
      </c>
      <c r="K89" s="42" t="inlineStr">
        <is>
          <t>High-contrast and forced-colors behavior is not explicitly validated for active take, selected clip, mute, lock, error, loaded workflow, and drop-target states. Color-heavy dense states can collapse into indistinguishable controls.</t>
        </is>
      </c>
      <c r="L89" s="42" t="inlineStr">
        <is>
          <t>Add forced-colors-safe borders/text/icons and validate that state never relies on color alone.</t>
        </is>
      </c>
      <c r="M89" s="42" t="inlineStr">
        <is>
          <t>Every critical state remains distinct in Windows High Contrast/forced-colors with visible focus and readable labels.</t>
        </is>
      </c>
      <c r="N89" s="42" t="inlineStr">
        <is>
          <t>Dark-theme styles and new QA plan</t>
        </is>
      </c>
      <c r="O89" s="42" t="inlineStr">
        <is>
          <t>https://github.com/tj1784/Premiere316_AI_Director_Prototype_v2.0.0/commit/17234f7bcc9687d12afa23fbb88c6eff5be7e2a9</t>
        </is>
      </c>
      <c r="P89" s="42" t="inlineStr">
        <is>
          <t>Frontend + Accessibility QA</t>
        </is>
      </c>
      <c r="Q89" s="42" t="inlineStr">
        <is>
          <t>G4 — Accessibility &amp; release gates</t>
        </is>
      </c>
      <c r="R89" s="48" t="inlineStr">
        <is>
          <t>M</t>
        </is>
      </c>
      <c r="S89" s="42" t="str"/>
      <c r="T89" s="42" t="inlineStr">
        <is>
          <t>UAT-A11Y-008</t>
        </is>
      </c>
      <c r="U89" s="48" t="inlineStr">
        <is>
          <t>Not Started</t>
        </is>
      </c>
      <c r="V89" s="48" t="n">
        <v>0</v>
      </c>
      <c r="W89" s="42" t="str"/>
      <c r="X89" s="110" t="n"/>
      <c r="Y89" s="42" t="inlineStr">
        <is>
          <t>User QA plan</t>
        </is>
      </c>
      <c r="Z89" s="42" t="str"/>
    </row>
    <row r="90" ht="62" customHeight="1">
      <c r="A90" s="42" t="inlineStr">
        <is>
          <t>A11Y-004</t>
        </is>
      </c>
      <c r="B90" s="42" t="inlineStr">
        <is>
          <t>A11Y-004</t>
        </is>
      </c>
      <c r="C90" s="42" t="inlineStr">
        <is>
          <t>Accessibility / Readability</t>
        </is>
      </c>
      <c r="D90" s="48" t="inlineStr">
        <is>
          <t>P2</t>
        </is>
      </c>
      <c r="E90" s="48" t="inlineStr">
        <is>
          <t>Conditional</t>
        </is>
      </c>
      <c r="F90" s="48" t="inlineStr">
        <is>
          <t>Accessibility</t>
        </is>
      </c>
      <c r="G90" s="48" t="inlineStr">
        <is>
          <t>Confirmed typography weakness</t>
        </is>
      </c>
      <c r="H90" s="48" t="inlineStr">
        <is>
          <t>Yes</t>
        </is>
      </c>
      <c r="I90" s="48" t="inlineStr">
        <is>
          <t>No</t>
        </is>
      </c>
      <c r="J90" s="42" t="inlineStr">
        <is>
          <t>Raise essential UI text and preserve hierarchy through weight/spacing rather than extreme size reduction</t>
        </is>
      </c>
      <c r="K90" s="42" t="inlineStr">
        <is>
          <t>Important status/context text is rendered around 8–10 px. Legibility is poor on common Windows scaling and dense production displays.</t>
        </is>
      </c>
      <c r="L90" s="42" t="inlineStr">
        <is>
          <t>Raise essential UI text and preserve hierarchy through weight/spacing rather than extreme size reduction.</t>
        </is>
      </c>
      <c r="M90" s="42" t="inlineStr">
        <is>
          <t>All functional text is readable at 100%, 125%, and 150% scaling.</t>
        </is>
      </c>
      <c r="N90" s="42" t="inlineStr">
        <is>
          <t>Sequence inline styles and Comfy toolbar CSS</t>
        </is>
      </c>
      <c r="O90" s="42" t="inlineStr">
        <is>
          <t>https://github.com/tj1784/Premiere316_AI_Director_Prototype_v2.0.0/commit/17234f7bcc9687d12afa23fbb88c6eff5be7e2a9</t>
        </is>
      </c>
      <c r="P90" s="42" t="inlineStr">
        <is>
          <t>Frontend + Accessibility QA</t>
        </is>
      </c>
      <c r="Q90" s="42" t="inlineStr">
        <is>
          <t>G4 — Accessibility &amp; release gates</t>
        </is>
      </c>
      <c r="R90" s="48" t="inlineStr">
        <is>
          <t>M</t>
        </is>
      </c>
      <c r="S90" s="42" t="str"/>
      <c r="T90" s="42" t="inlineStr">
        <is>
          <t>UAT-RESP-001,UAT-RESP-002,UAT-RESP-003</t>
        </is>
      </c>
      <c r="U90" s="48" t="inlineStr">
        <is>
          <t>Not Started</t>
        </is>
      </c>
      <c r="V90" s="48" t="n">
        <v>0</v>
      </c>
      <c r="W90" s="42" t="str"/>
      <c r="X90" s="110" t="n"/>
      <c r="Y90" s="42" t="inlineStr">
        <is>
          <t>Existing 74-item source audit</t>
        </is>
      </c>
      <c r="Z90" s="42" t="str"/>
    </row>
    <row r="91" ht="62" customHeight="1">
      <c r="A91" s="42" t="inlineStr">
        <is>
          <t>A11Y-006</t>
        </is>
      </c>
      <c r="B91" s="42" t="inlineStr">
        <is>
          <t>A11Y-006</t>
        </is>
      </c>
      <c r="C91" s="42" t="inlineStr">
        <is>
          <t>Accessibility / Status</t>
        </is>
      </c>
      <c r="D91" s="48" t="inlineStr">
        <is>
          <t>P2</t>
        </is>
      </c>
      <c r="E91" s="48" t="inlineStr">
        <is>
          <t>Conditional</t>
        </is>
      </c>
      <c r="F91" s="48" t="inlineStr">
        <is>
          <t>Accessibility</t>
        </is>
      </c>
      <c r="G91" s="48" t="inlineStr">
        <is>
          <t>Confirmed feedback gap</t>
        </is>
      </c>
      <c r="H91" s="48" t="inlineStr">
        <is>
          <t>Yes</t>
        </is>
      </c>
      <c r="I91" s="48" t="inlineStr">
        <is>
          <t>No</t>
        </is>
      </c>
      <c r="J91" s="42" t="inlineStr">
        <is>
          <t>Add polite progress updates and assertive failure announcements without chatter</t>
        </is>
      </c>
      <c r="K91" s="42" t="inlineStr">
        <is>
          <t>Import scanning/progress and playback buffering are not exposed through a consistent live-region status model. Screen-reader users receive little or no operational feedback.</t>
        </is>
      </c>
      <c r="L91" s="42" t="inlineStr">
        <is>
          <t>Add polite progress updates and assertive failure announcements without chatter.</t>
        </is>
      </c>
      <c r="M91" s="42" t="inlineStr">
        <is>
          <t>A screen reader can follow start, progress, completion, and failure.</t>
        </is>
      </c>
      <c r="N91" s="42" t="inlineStr">
        <is>
          <t>Folder import and playback state rendering</t>
        </is>
      </c>
      <c r="O91" s="42" t="inlineStr">
        <is>
          <t>https://github.com/tj1784/Premiere316_AI_Director_Prototype_v2.0.0/commit/17234f7bcc9687d12afa23fbb88c6eff5be7e2a9</t>
        </is>
      </c>
      <c r="P91" s="42" t="inlineStr">
        <is>
          <t>Frontend + Accessibility QA</t>
        </is>
      </c>
      <c r="Q91" s="42" t="inlineStr">
        <is>
          <t>G4 — Accessibility &amp; release gates</t>
        </is>
      </c>
      <c r="R91" s="48" t="inlineStr">
        <is>
          <t>M</t>
        </is>
      </c>
      <c r="S91" s="42" t="inlineStr">
        <is>
          <t>SEQ-PLAY-003,IMP-004,COMFY-005</t>
        </is>
      </c>
      <c r="T91" s="42" t="inlineStr">
        <is>
          <t>UAT-A11Y-003</t>
        </is>
      </c>
      <c r="U91" s="48" t="inlineStr">
        <is>
          <t>In Progress</t>
        </is>
      </c>
      <c r="V91" s="48" t="n">
        <v>40</v>
      </c>
      <c r="W91" s="42" t="str"/>
      <c r="X91" s="110" t="n"/>
      <c r="Y91" s="42" t="inlineStr">
        <is>
          <t>Existing 74-item source audit</t>
        </is>
      </c>
      <c r="Z91" s="42" t="inlineStr">
        <is>
          <t>Implemented 2026-08-22: Import and buffering live regions</t>
        </is>
      </c>
    </row>
    <row r="92" ht="62" customHeight="1">
      <c r="A92" s="42" t="inlineStr">
        <is>
          <t>A11Y-002</t>
        </is>
      </c>
      <c r="B92" s="42" t="inlineStr">
        <is>
          <t>A11Y-002</t>
        </is>
      </c>
      <c r="C92" s="42" t="inlineStr">
        <is>
          <t>Accessibility / Timeline</t>
        </is>
      </c>
      <c r="D92" s="48" t="inlineStr">
        <is>
          <t>P2</t>
        </is>
      </c>
      <c r="E92" s="48" t="inlineStr">
        <is>
          <t>Conditional</t>
        </is>
      </c>
      <c r="F92" s="48" t="inlineStr">
        <is>
          <t>Accessibility</t>
        </is>
      </c>
      <c r="G92" s="48" t="inlineStr">
        <is>
          <t>Confirmed keyboard gap</t>
        </is>
      </c>
      <c r="H92" s="48" t="inlineStr">
        <is>
          <t>Yes</t>
        </is>
      </c>
      <c r="I92" s="48" t="inlineStr">
        <is>
          <t>No</t>
        </is>
      </c>
      <c r="J92" s="42" t="inlineStr">
        <is>
          <t>Add keyboard trim/nudge/reorder commands and announce values</t>
        </is>
      </c>
      <c r="K92" s="42" t="inlineStr">
        <is>
          <t>Clip reorder and trim handles are pointer-centric with no equivalent keyboard operation or ARIA value semantics. Keyboard-only users cannot complete core edits.</t>
        </is>
      </c>
      <c r="L92" s="42" t="inlineStr">
        <is>
          <t>Add keyboard trim/nudge/reorder commands and announce values.</t>
        </is>
      </c>
      <c r="M92" s="42" t="inlineStr">
        <is>
          <t>The entire edit can be completed without a pointer.</t>
        </is>
      </c>
      <c r="N92" s="42" t="inlineStr">
        <is>
          <t>Sequence timeline pointer handlers</t>
        </is>
      </c>
      <c r="O92" s="42" t="inlineStr">
        <is>
          <t>https://github.com/tj1784/Premiere316_AI_Director_Prototype_v2.0.0/commit/17234f7bcc9687d12afa23fbb88c6eff5be7e2a9</t>
        </is>
      </c>
      <c r="P92" s="42" t="inlineStr">
        <is>
          <t>Frontend + Accessibility QA</t>
        </is>
      </c>
      <c r="Q92" s="42" t="inlineStr">
        <is>
          <t>G4 — Accessibility &amp; release gates</t>
        </is>
      </c>
      <c r="R92" s="48" t="inlineStr">
        <is>
          <t>L</t>
        </is>
      </c>
      <c r="S92" s="42" t="str"/>
      <c r="T92" s="42" t="inlineStr">
        <is>
          <t>UAT-A11Y-001</t>
        </is>
      </c>
      <c r="U92" s="48" t="inlineStr">
        <is>
          <t>Not Started</t>
        </is>
      </c>
      <c r="V92" s="48" t="n">
        <v>0</v>
      </c>
      <c r="W92" s="42" t="str"/>
      <c r="X92" s="110" t="n"/>
      <c r="Y92" s="42" t="inlineStr">
        <is>
          <t>Existing 74-item source audit</t>
        </is>
      </c>
      <c r="Z92" s="42" t="str"/>
    </row>
    <row r="93" ht="62" customHeight="1">
      <c r="A93" s="42" t="inlineStr">
        <is>
          <t>A11Y-003</t>
        </is>
      </c>
      <c r="B93" s="42" t="inlineStr">
        <is>
          <t>A11Y-003</t>
        </is>
      </c>
      <c r="C93" s="42" t="inlineStr">
        <is>
          <t>Accessibility / Touch Targets</t>
        </is>
      </c>
      <c r="D93" s="48" t="inlineStr">
        <is>
          <t>P2</t>
        </is>
      </c>
      <c r="E93" s="48" t="inlineStr">
        <is>
          <t>Conditional</t>
        </is>
      </c>
      <c r="F93" s="48" t="inlineStr">
        <is>
          <t>Accessibility</t>
        </is>
      </c>
      <c r="G93" s="48" t="inlineStr">
        <is>
          <t>Confirmed sizing weakness</t>
        </is>
      </c>
      <c r="H93" s="48" t="inlineStr">
        <is>
          <t>Yes</t>
        </is>
      </c>
      <c r="I93" s="48" t="inlineStr">
        <is>
          <t>No</t>
        </is>
      </c>
      <c r="J93" s="42" t="inlineStr">
        <is>
          <t>Increase hit areas to at least 40–44 px where practical, without necessarily enlarging the icon</t>
        </is>
      </c>
      <c r="K93" s="42" t="inlineStr">
        <is>
          <t>Multiple controls are approximately 16–28 px and fall below comfortable target dimensions. Mis-click risk rises, especially at high DPI or for motor impairments.</t>
        </is>
      </c>
      <c r="L93" s="42" t="inlineStr">
        <is>
          <t>Increase hit areas to at least 40–44 px where practical, without necessarily enlarging the icon.</t>
        </is>
      </c>
      <c r="M93" s="42" t="inlineStr">
        <is>
          <t>Primary controls meet the project target-size standard.</t>
        </is>
      </c>
      <c r="N93" s="42" t="inlineStr">
        <is>
          <t>Sequence editor inline dimensions and Comfy toolbar styles</t>
        </is>
      </c>
      <c r="O93" s="42" t="inlineStr">
        <is>
          <t>https://github.com/tj1784/Premiere316_AI_Director_Prototype_v2.0.0/commit/17234f7bcc9687d12afa23fbb88c6eff5be7e2a9</t>
        </is>
      </c>
      <c r="P93" s="42" t="inlineStr">
        <is>
          <t>Frontend + Accessibility QA</t>
        </is>
      </c>
      <c r="Q93" s="42" t="inlineStr">
        <is>
          <t>G4 — Accessibility &amp; release gates</t>
        </is>
      </c>
      <c r="R93" s="48" t="inlineStr">
        <is>
          <t>M</t>
        </is>
      </c>
      <c r="S93" s="42" t="str"/>
      <c r="T93" s="42" t="inlineStr">
        <is>
          <t>UAT-A11Y-004</t>
        </is>
      </c>
      <c r="U93" s="48" t="inlineStr">
        <is>
          <t>Not Started</t>
        </is>
      </c>
      <c r="V93" s="48" t="n">
        <v>0</v>
      </c>
      <c r="W93" s="42" t="str"/>
      <c r="X93" s="110" t="n"/>
      <c r="Y93" s="42" t="inlineStr">
        <is>
          <t>Existing 74-item source audit</t>
        </is>
      </c>
      <c r="Z93" s="42" t="str"/>
    </row>
    <row r="94" ht="62" customHeight="1">
      <c r="A94" s="42" t="inlineStr">
        <is>
          <t>A11Y-011</t>
        </is>
      </c>
      <c r="B94" s="42" t="inlineStr">
        <is>
          <t>A11Y-011</t>
        </is>
      </c>
      <c r="C94" s="42" t="inlineStr">
        <is>
          <t>Accessibility / Zoom and Reflow</t>
        </is>
      </c>
      <c r="D94" s="48" t="inlineStr">
        <is>
          <t>P2</t>
        </is>
      </c>
      <c r="E94" s="48" t="inlineStr">
        <is>
          <t>Conditional</t>
        </is>
      </c>
      <c r="F94" s="48" t="inlineStr">
        <is>
          <t>Accessibility</t>
        </is>
      </c>
      <c r="G94" s="48" t="inlineStr">
        <is>
          <t>Missing WCAG execution evidence</t>
        </is>
      </c>
      <c r="H94" s="48" t="inlineStr">
        <is>
          <t>Yes</t>
        </is>
      </c>
      <c r="I94" s="48" t="inlineStr">
        <is>
          <t>Yes</t>
        </is>
      </c>
      <c r="J94" s="42" t="inlineStr">
        <is>
          <t>Add 200% and 400% zoom/reflow cases, eliminate clipped essential controls, and provide a compact/stacked editor mode where necessary</t>
        </is>
      </c>
      <c r="K94" s="42" t="inlineStr">
        <is>
          <t>The prior matrix stops at common Windows scaling and does not explicitly require 400% browser zoom/reflow. Tiny text, fixed minima, and nested scroll regions can become unusable at high magnification.</t>
        </is>
      </c>
      <c r="L94" s="42" t="inlineStr">
        <is>
          <t>Add 200% and 400% zoom/reflow cases, eliminate clipped essential controls, and provide a compact/stacked editor mode where necessary.</t>
        </is>
      </c>
      <c r="M94" s="42" t="inlineStr">
        <is>
          <t>At 400% zoom, core tasks remain reachable without two-dimensional page scrolling beyond intrinsically spatial timeline content.</t>
        </is>
      </c>
      <c r="N94" s="42" t="inlineStr">
        <is>
          <t>Static layout review and new QA plan</t>
        </is>
      </c>
      <c r="O94" s="42" t="inlineStr">
        <is>
          <t>https://github.com/tj1784/Premiere316_AI_Director_Prototype_v2.0.0/commit/17234f7bcc9687d12afa23fbb88c6eff5be7e2a9</t>
        </is>
      </c>
      <c r="P94" s="42" t="inlineStr">
        <is>
          <t>Frontend + Accessibility QA</t>
        </is>
      </c>
      <c r="Q94" s="42" t="inlineStr">
        <is>
          <t>G4 — Accessibility &amp; release gates</t>
        </is>
      </c>
      <c r="R94" s="48" t="inlineStr">
        <is>
          <t>L</t>
        </is>
      </c>
      <c r="S94" s="42" t="str"/>
      <c r="T94" s="42" t="inlineStr">
        <is>
          <t>UAT-A11Y-006</t>
        </is>
      </c>
      <c r="U94" s="48" t="inlineStr">
        <is>
          <t>Not Started</t>
        </is>
      </c>
      <c r="V94" s="48" t="n">
        <v>0</v>
      </c>
      <c r="W94" s="42" t="str"/>
      <c r="X94" s="110" t="n"/>
      <c r="Y94" s="42" t="inlineStr">
        <is>
          <t>User QA plan</t>
        </is>
      </c>
      <c r="Z94" s="42" t="str"/>
    </row>
    <row r="95" ht="62" customHeight="1">
      <c r="A95" s="42" t="inlineStr">
        <is>
          <t>PROC-001</t>
        </is>
      </c>
      <c r="B95" s="42" t="inlineStr">
        <is>
          <t>PROC-001</t>
        </is>
      </c>
      <c r="C95" s="42" t="inlineStr">
        <is>
          <t>Change Management</t>
        </is>
      </c>
      <c r="D95" s="48" t="inlineStr">
        <is>
          <t>P2</t>
        </is>
      </c>
      <c r="E95" s="48" t="inlineStr">
        <is>
          <t>Conditional</t>
        </is>
      </c>
      <c r="F95" s="48" t="inlineStr">
        <is>
          <t>Release / Process</t>
        </is>
      </c>
      <c r="G95" s="48" t="inlineStr">
        <is>
          <t>Confirmed scope contamination</t>
        </is>
      </c>
      <c r="H95" s="48" t="inlineStr">
        <is>
          <t>Yes</t>
        </is>
      </c>
      <c r="I95" s="48" t="inlineStr">
        <is>
          <t>No</t>
        </is>
      </c>
      <c r="J95" s="42" t="inlineStr">
        <is>
          <t>Split product feature, runtime support, and project-data changes into isolated commits/PRs</t>
        </is>
      </c>
      <c r="K95" s="42" t="inlineStr">
        <is>
          <t>The feature commit also changes Create Sound, TTS/server areas, and a very large production storyboard file. Review, rollback, bisecting, and regression attribution are harder.</t>
        </is>
      </c>
      <c r="L95" s="42" t="inlineStr">
        <is>
          <t>Split product feature, runtime support, and project-data changes into isolated commits/PRs.</t>
        </is>
      </c>
      <c r="M95" s="42" t="inlineStr">
        <is>
          <t>Each release change is independently reviewable and revertible.</t>
        </is>
      </c>
      <c r="N95" s="42" t="inlineStr">
        <is>
          <t>17234f7 changed-file list and commit statistics</t>
        </is>
      </c>
      <c r="O95" s="42" t="inlineStr">
        <is>
          <t>https://github.com/tj1784/Premiere316_AI_Director_Prototype_v2.0.0/commit/17234f7bcc9687d12afa23fbb88c6eff5be7e2a9</t>
        </is>
      </c>
      <c r="P95" s="42" t="inlineStr">
        <is>
          <t>Release Engineering</t>
        </is>
      </c>
      <c r="Q95" s="42" t="inlineStr">
        <is>
          <t>G4 — Accessibility &amp; release gates</t>
        </is>
      </c>
      <c r="R95" s="48" t="inlineStr">
        <is>
          <t>L</t>
        </is>
      </c>
      <c r="S95" s="42" t="str"/>
      <c r="T95" s="42" t="inlineStr">
        <is>
          <t>UAT-REG-010</t>
        </is>
      </c>
      <c r="U95" s="48" t="inlineStr">
        <is>
          <t>Not Started</t>
        </is>
      </c>
      <c r="V95" s="48" t="n">
        <v>0</v>
      </c>
      <c r="W95" s="42" t="str"/>
      <c r="X95" s="110" t="n"/>
      <c r="Y95" s="42" t="inlineStr">
        <is>
          <t>Existing 74-item source audit</t>
        </is>
      </c>
      <c r="Z95" s="42" t="str"/>
    </row>
    <row r="96" ht="62" customHeight="1">
      <c r="A96" s="42" t="inlineStr">
        <is>
          <t>COMFY-021</t>
        </is>
      </c>
      <c r="B96" s="42" t="inlineStr">
        <is>
          <t>COMFY-021</t>
        </is>
      </c>
      <c r="C96" s="42" t="inlineStr">
        <is>
          <t>Comfy Picker / Accessibility</t>
        </is>
      </c>
      <c r="D96" s="48" t="inlineStr">
        <is>
          <t>P2</t>
        </is>
      </c>
      <c r="E96" s="48" t="inlineStr">
        <is>
          <t>Conditional</t>
        </is>
      </c>
      <c r="F96" s="48" t="inlineStr">
        <is>
          <t>Accessibility</t>
        </is>
      </c>
      <c r="G96" s="48" t="inlineStr">
        <is>
          <t>Confirmed state-semantics gap</t>
        </is>
      </c>
      <c r="H96" s="48" t="inlineStr">
        <is>
          <t>Yes</t>
        </is>
      </c>
      <c r="I96" s="48" t="inlineStr">
        <is>
          <t>Yes</t>
        </is>
      </c>
      <c r="J96" s="42" t="inlineStr">
        <is>
          <t>Expose labeled state, aria-describedby relationships, scoped live announcements, and keyboard-safe retry/reload actions backed by the bridge state machine</t>
        </is>
      </c>
      <c r="K96" s="42" t="inlineStr">
        <is>
          <t>Selected, loading, loaded, dirty, failed, and queued workflow states are not exposed as a coherent programmatic state model. Screen-reader and keyboard users cannot verify whether the visible selection matches the active canvas or whether an operation completed.</t>
        </is>
      </c>
      <c r="L96" s="42" t="inlineStr">
        <is>
          <t>Expose labeled state, aria-describedby relationships, scoped live announcements, and keyboard-safe retry/reload actions backed by the bridge state machine.</t>
        </is>
      </c>
      <c r="M96" s="42" t="inlineStr">
        <is>
          <t>Assistive technology announces 'selected X', 'loading X', 'loaded X', dirty state, and failure/recovery without duplicate or overwritten announcements.</t>
        </is>
      </c>
      <c r="N96" s="42" t="inlineStr">
        <is>
          <t>client/src/components/ComfyUIWorkspace.tsx — picker/status/iframe state</t>
        </is>
      </c>
      <c r="O96" s="42" t="inlineStr">
        <is>
          <t>https://github.com/tj1784/Premiere316_AI_Director_Prototype_v2.0.0/blob/17234f7bcc9687d12afa23fbb88c6eff5be7e2a9/client/src/components/ComfyUIWorkspace.tsx</t>
        </is>
      </c>
      <c r="P96" s="42" t="inlineStr">
        <is>
          <t>Frontend + Accessibility QA</t>
        </is>
      </c>
      <c r="Q96" s="42" t="inlineStr">
        <is>
          <t>G4 — Accessibility &amp; release gates</t>
        </is>
      </c>
      <c r="R96" s="48" t="inlineStr">
        <is>
          <t>M</t>
        </is>
      </c>
      <c r="S96" s="42" t="inlineStr">
        <is>
          <t>COMFY-001,COMFY-002</t>
        </is>
      </c>
      <c r="T96" s="42" t="inlineStr">
        <is>
          <t>UAT-COMFY-025</t>
        </is>
      </c>
      <c r="U96" s="48" t="inlineStr">
        <is>
          <t>Not Started</t>
        </is>
      </c>
      <c r="V96" s="48" t="n">
        <v>0</v>
      </c>
      <c r="W96" s="42" t="str"/>
      <c r="X96" s="110" t="n"/>
      <c r="Y96" s="42" t="inlineStr">
        <is>
          <t>User QA plan</t>
        </is>
      </c>
      <c r="Z96" s="42" t="str"/>
    </row>
    <row r="97" ht="62" customHeight="1">
      <c r="A97" s="42" t="inlineStr">
        <is>
          <t>PROC-002</t>
        </is>
      </c>
      <c r="B97" s="42" t="inlineStr">
        <is>
          <t>PROC-002</t>
        </is>
      </c>
      <c r="C97" s="42" t="inlineStr">
        <is>
          <t>Diagnostics / Remediation</t>
        </is>
      </c>
      <c r="D97" s="48" t="inlineStr">
        <is>
          <t>P2</t>
        </is>
      </c>
      <c r="E97" s="48" t="inlineStr">
        <is>
          <t>Conditional</t>
        </is>
      </c>
      <c r="F97" s="48" t="inlineStr">
        <is>
          <t>Release / Process</t>
        </is>
      </c>
      <c r="G97" s="48" t="inlineStr">
        <is>
          <t>Confirmed evidence gap from user statement</t>
        </is>
      </c>
      <c r="H97" s="48" t="inlineStr">
        <is>
          <t>Yes</t>
        </is>
      </c>
      <c r="I97" s="48" t="inlineStr">
        <is>
          <t>No</t>
        </is>
      </c>
      <c r="J97" s="42" t="inlineStr">
        <is>
          <t>Commit sanitized diagnostics, expected outputs, and idempotent patch/migration scripts in a dedicated tooling location</t>
        </is>
      </c>
      <c r="K97" s="42" t="inlineStr">
        <is>
          <t>Diagnostics and patch scripts stayed local and are therefore unavailable for review or reproducible repair. The commit cannot be independently validated against the developer's local evidence/fixes.</t>
        </is>
      </c>
      <c r="L97" s="42" t="inlineStr">
        <is>
          <t>Commit sanitized diagnostics, expected outputs, and idempotent patch/migration scripts in a dedicated tooling location.</t>
        </is>
      </c>
      <c r="M97" s="42" t="inlineStr">
        <is>
          <t>Another machine can reproduce the diagnostic result and repair from source.</t>
        </is>
      </c>
      <c r="N97" s="42" t="inlineStr">
        <is>
          <t>User release note plus absence from changed files</t>
        </is>
      </c>
      <c r="O97" s="42" t="inlineStr">
        <is>
          <t>https://github.com/tj1784/Premiere316_AI_Director_Prototype_v2.0.0/commit/17234f7bcc9687d12afa23fbb88c6eff5be7e2a9</t>
        </is>
      </c>
      <c r="P97" s="42" t="inlineStr">
        <is>
          <t>Release Engineering</t>
        </is>
      </c>
      <c r="Q97" s="42" t="inlineStr">
        <is>
          <t>G4 — Accessibility &amp; release gates</t>
        </is>
      </c>
      <c r="R97" s="48" t="inlineStr">
        <is>
          <t>M</t>
        </is>
      </c>
      <c r="S97" s="42" t="str"/>
      <c r="T97" s="42" t="inlineStr">
        <is>
          <t>UAT-REG-005</t>
        </is>
      </c>
      <c r="U97" s="48" t="inlineStr">
        <is>
          <t>Not Started</t>
        </is>
      </c>
      <c r="V97" s="48" t="n">
        <v>0</v>
      </c>
      <c r="W97" s="42" t="str"/>
      <c r="X97" s="110" t="n"/>
      <c r="Y97" s="42" t="inlineStr">
        <is>
          <t>Existing 74-item source audit</t>
        </is>
      </c>
      <c r="Z97" s="42" t="str"/>
    </row>
    <row r="98" ht="62" customHeight="1">
      <c r="A98" s="42" t="inlineStr">
        <is>
          <t>A11Y-008</t>
        </is>
      </c>
      <c r="B98" s="42" t="inlineStr">
        <is>
          <t>A11Y-008</t>
        </is>
      </c>
      <c r="C98" s="42" t="inlineStr">
        <is>
          <t>Keyboard / Shortcuts</t>
        </is>
      </c>
      <c r="D98" s="48" t="inlineStr">
        <is>
          <t>P2</t>
        </is>
      </c>
      <c r="E98" s="48" t="inlineStr">
        <is>
          <t>Conditional</t>
        </is>
      </c>
      <c r="F98" s="48" t="inlineStr">
        <is>
          <t>Accessibility</t>
        </is>
      </c>
      <c r="G98" s="48" t="inlineStr">
        <is>
          <t>Confirmed scope defect</t>
        </is>
      </c>
      <c r="H98" s="48" t="inlineStr">
        <is>
          <t>Yes</t>
        </is>
      </c>
      <c r="I98" s="48" t="inlineStr">
        <is>
          <t>No</t>
        </is>
      </c>
      <c r="J98" s="42" t="inlineStr">
        <is>
          <t>Scope shortcuts to an active editor region, support command discovery, and honor modal/contenteditable contexts</t>
        </is>
      </c>
      <c r="K98" s="42" t="inlineStr">
        <is>
          <t>Space/Delete/S shortcuts are global and largely protected only by input-element checks rather than editor focus/context. Commands can fire while the user is interacting with unrelated non-input controls.</t>
        </is>
      </c>
      <c r="L98" s="42" t="inlineStr">
        <is>
          <t>Scope shortcuts to an active editor region, support command discovery, and honor modal/contenteditable contexts.</t>
        </is>
      </c>
      <c r="M98" s="42" t="inlineStr">
        <is>
          <t>No edit command fires outside the focused editor context.</t>
        </is>
      </c>
      <c r="N98" s="42" t="inlineStr">
        <is>
          <t>SequenceEditorWorkspace global keydown handler</t>
        </is>
      </c>
      <c r="O98" s="42" t="inlineStr">
        <is>
          <t>https://github.com/tj1784/Premiere316_AI_Director_Prototype_v2.0.0/commit/17234f7bcc9687d12afa23fbb88c6eff5be7e2a9</t>
        </is>
      </c>
      <c r="P98" s="42" t="inlineStr">
        <is>
          <t>Frontend + Accessibility QA</t>
        </is>
      </c>
      <c r="Q98" s="42" t="inlineStr">
        <is>
          <t>G4 — Accessibility &amp; release gates</t>
        </is>
      </c>
      <c r="R98" s="48" t="inlineStr">
        <is>
          <t>L</t>
        </is>
      </c>
      <c r="S98" s="42" t="str"/>
      <c r="T98" s="42" t="inlineStr">
        <is>
          <t>UAT-A11Y-001</t>
        </is>
      </c>
      <c r="U98" s="48" t="inlineStr">
        <is>
          <t>Not Started</t>
        </is>
      </c>
      <c r="V98" s="48" t="n">
        <v>0</v>
      </c>
      <c r="W98" s="42" t="str"/>
      <c r="X98" s="110" t="n"/>
      <c r="Y98" s="42" t="inlineStr">
        <is>
          <t>Existing 74-item source audit</t>
        </is>
      </c>
      <c r="Z98" s="42" t="str"/>
    </row>
    <row r="99" ht="62" customHeight="1">
      <c r="A99" s="42" t="inlineStr">
        <is>
          <t>QA-003</t>
        </is>
      </c>
      <c r="B99" s="42" t="inlineStr">
        <is>
          <t>QA-003</t>
        </is>
      </c>
      <c r="C99" s="42" t="inlineStr">
        <is>
          <t>Performance Engineering</t>
        </is>
      </c>
      <c r="D99" s="48" t="inlineStr">
        <is>
          <t>P2</t>
        </is>
      </c>
      <c r="E99" s="48" t="inlineStr">
        <is>
          <t>Conditional</t>
        </is>
      </c>
      <c r="F99" s="48" t="inlineStr">
        <is>
          <t>Performance / Release</t>
        </is>
      </c>
      <c r="G99" s="48" t="inlineStr">
        <is>
          <t>Missing release budget</t>
        </is>
      </c>
      <c r="H99" s="48" t="inlineStr">
        <is>
          <t>Yes</t>
        </is>
      </c>
      <c r="I99" s="48" t="inlineStr">
        <is>
          <t>Yes</t>
        </is>
      </c>
      <c r="J99" s="42" t="inlineStr">
        <is>
          <t>Define workstation-specific budgets and collect repeatable traces in CI or a dedicated hardware gate</t>
        </is>
      </c>
      <c r="K99" s="42" t="inlineStr">
        <is>
          <t>No unified performance budget covers sequence startup, scrubbing, cut readiness, folder scan/import, media-bin scrolling, workflow indexing, graph load, memory, and event-loop delay. Performance failures remain subjective and can regress unnoticed.</t>
        </is>
      </c>
      <c r="L99" s="42" t="inlineStr">
        <is>
          <t>Define workstation-specific budgets and collect repeatable traces in CI or a dedicated hardware gate.</t>
        </is>
      </c>
      <c r="M99" s="42" t="inlineStr">
        <is>
          <t>Each primary operation has a documented threshold, fixture, measurement method, and release-failing test where feasible.</t>
        </is>
      </c>
      <c r="N99" s="42" t="inlineStr">
        <is>
          <t>Current QA artifacts and new exhaustive plan</t>
        </is>
      </c>
      <c r="O99" s="42" t="inlineStr">
        <is>
          <t>https://github.com/tj1784/Premiere316_AI_Director_Prototype_v2.0.0/commit/17234f7bcc9687d12afa23fbb88c6eff5be7e2a9</t>
        </is>
      </c>
      <c r="P99" s="42" t="inlineStr">
        <is>
          <t>QA Performance + DevOps</t>
        </is>
      </c>
      <c r="Q99" s="42" t="inlineStr">
        <is>
          <t>G4 — Accessibility &amp; release gates</t>
        </is>
      </c>
      <c r="R99" s="48" t="inlineStr">
        <is>
          <t>L</t>
        </is>
      </c>
      <c r="S99" s="42" t="str"/>
      <c r="T99" s="42" t="inlineStr">
        <is>
          <t>UAT-PERF-001,UAT-PERF-002,UAT-PERF-003</t>
        </is>
      </c>
      <c r="U99" s="48" t="inlineStr">
        <is>
          <t>Not Started</t>
        </is>
      </c>
      <c r="V99" s="48" t="n">
        <v>0</v>
      </c>
      <c r="W99" s="42" t="str"/>
      <c r="X99" s="110" t="n"/>
      <c r="Y99" s="42" t="inlineStr">
        <is>
          <t>User QA plan</t>
        </is>
      </c>
      <c r="Z99" s="42" t="str"/>
    </row>
    <row r="100" ht="62" customHeight="1">
      <c r="A100" s="42" t="inlineStr">
        <is>
          <t>QA-002</t>
        </is>
      </c>
      <c r="B100" s="42" t="inlineStr">
        <is>
          <t>QA-002</t>
        </is>
      </c>
      <c r="C100" s="42" t="inlineStr">
        <is>
          <t>Release Engineering / Platform Support</t>
        </is>
      </c>
      <c r="D100" s="48" t="inlineStr">
        <is>
          <t>P2</t>
        </is>
      </c>
      <c r="E100" s="48" t="inlineStr">
        <is>
          <t>Conditional</t>
        </is>
      </c>
      <c r="F100" s="48" t="inlineStr">
        <is>
          <t>Release / Product Decision</t>
        </is>
      </c>
      <c r="G100" s="48" t="inlineStr">
        <is>
          <t>Missing support policy</t>
        </is>
      </c>
      <c r="H100" s="48" t="inlineStr">
        <is>
          <t>Yes</t>
        </is>
      </c>
      <c r="I100" s="48" t="inlineStr">
        <is>
          <t>Yes</t>
        </is>
      </c>
      <c r="J100" s="42" t="inlineStr">
        <is>
          <t>Define the supported matrix and automate the primary combinations; list unsupported browsers/OSs in-product rather than implying universal support</t>
        </is>
      </c>
      <c r="K100" s="42" t="inlineStr">
        <is>
          <t>There is no published browser/OS support matrix for a local desktop application that depends on folder drag APIs, iframe access, local services, and Windows tooling. Teams can waste effort testing unsupported combinations or ship regressions on the actual supported workstation.</t>
        </is>
      </c>
      <c r="L100" s="42" t="inlineStr">
        <is>
          <t>Define the supported matrix and automate the primary combinations; list unsupported browsers/OSs in-product rather than implying universal support.</t>
        </is>
      </c>
      <c r="M100" s="42" t="inlineStr">
        <is>
          <t>Release documentation names supported OS/browser versions and every required combination has a passing smoke suite.</t>
        </is>
      </c>
      <c r="N100" s="42" t="inlineStr">
        <is>
          <t>Repository/runtime architecture and new QA plan</t>
        </is>
      </c>
      <c r="O100" s="42" t="inlineStr">
        <is>
          <t>https://github.com/tj1784/Premiere316_AI_Director_Prototype_v2.0.0/commit/17234f7bcc9687d12afa23fbb88c6eff5be7e2a9</t>
        </is>
      </c>
      <c r="P100" s="42" t="inlineStr">
        <is>
          <t>Product + QA + DevOps</t>
        </is>
      </c>
      <c r="Q100" s="42" t="inlineStr">
        <is>
          <t>G4 — Accessibility &amp; release gates</t>
        </is>
      </c>
      <c r="R100" s="48" t="inlineStr">
        <is>
          <t>M</t>
        </is>
      </c>
      <c r="S100" s="42" t="str"/>
      <c r="T100" s="42" t="inlineStr">
        <is>
          <t>UAT-REG-011</t>
        </is>
      </c>
      <c r="U100" s="48" t="inlineStr">
        <is>
          <t>Not Started</t>
        </is>
      </c>
      <c r="V100" s="48" t="n">
        <v>0</v>
      </c>
      <c r="W100" s="42" t="str"/>
      <c r="X100" s="110" t="n"/>
      <c r="Y100" s="42" t="inlineStr">
        <is>
          <t>User QA plan</t>
        </is>
      </c>
      <c r="Z100" s="42" t="str"/>
    </row>
    <row r="101" ht="62" customHeight="1">
      <c r="A101" s="42" t="inlineStr">
        <is>
          <t>PROC-004</t>
        </is>
      </c>
      <c r="B101" s="42" t="inlineStr">
        <is>
          <t>PROC-004</t>
        </is>
      </c>
      <c r="C101" s="42" t="inlineStr">
        <is>
          <t>Repository Hygiene</t>
        </is>
      </c>
      <c r="D101" s="48" t="inlineStr">
        <is>
          <t>P2</t>
        </is>
      </c>
      <c r="E101" s="48" t="inlineStr">
        <is>
          <t>Conditional</t>
        </is>
      </c>
      <c r="F101" s="48" t="inlineStr">
        <is>
          <t>Release / Process</t>
        </is>
      </c>
      <c r="G101" s="48" t="inlineStr">
        <is>
          <t>Confirmed repository risk</t>
        </is>
      </c>
      <c r="H101" s="48" t="inlineStr">
        <is>
          <t>Yes</t>
        </is>
      </c>
      <c r="I101" s="48" t="inlineStr">
        <is>
          <t>No</t>
        </is>
      </c>
      <c r="J101" s="42" t="inlineStr">
        <is>
          <t>Move generated/operational project state to appropriate storage or normalize/split it</t>
        </is>
      </c>
      <c r="K101" s="42" t="inlineStr">
        <is>
          <t>A very large mutable storyboard JSON is included in the same feature commit. Merge conflicts, repository growth, accidental state rollback, and noisy diffs increase.</t>
        </is>
      </c>
      <c r="L101" s="42" t="inlineStr">
        <is>
          <t>Move generated/operational project state to appropriate storage or normalize/split it.</t>
        </is>
      </c>
      <c r="M101" s="42" t="inlineStr">
        <is>
          <t>Feature code review is not dominated by generated production data.</t>
        </is>
      </c>
      <c r="N101" s="42" t="inlineStr">
        <is>
          <t>Commit tree/changed-file metadata</t>
        </is>
      </c>
      <c r="O101" s="42" t="inlineStr">
        <is>
          <t>https://github.com/tj1784/Premiere316_AI_Director_Prototype_v2.0.0/commit/17234f7bcc9687d12afa23fbb88c6eff5be7e2a9</t>
        </is>
      </c>
      <c r="P101" s="42" t="inlineStr">
        <is>
          <t>Repo Maintainer + Release</t>
        </is>
      </c>
      <c r="Q101" s="42" t="inlineStr">
        <is>
          <t>G4 — Accessibility &amp; release gates</t>
        </is>
      </c>
      <c r="R101" s="48" t="inlineStr">
        <is>
          <t>L</t>
        </is>
      </c>
      <c r="S101" s="42" t="str"/>
      <c r="T101" s="42" t="inlineStr">
        <is>
          <t>UAT-REG-007</t>
        </is>
      </c>
      <c r="U101" s="48" t="inlineStr">
        <is>
          <t>Not Started</t>
        </is>
      </c>
      <c r="V101" s="48" t="n">
        <v>0</v>
      </c>
      <c r="W101" s="42" t="str"/>
      <c r="X101" s="110" t="n"/>
      <c r="Y101" s="42" t="inlineStr">
        <is>
          <t>Existing 74-item source audit</t>
        </is>
      </c>
      <c r="Z101" s="42" t="str"/>
    </row>
    <row r="102" ht="62" customHeight="1">
      <c r="A102" s="42" t="inlineStr">
        <is>
          <t>A11Y-005</t>
        </is>
      </c>
      <c r="B102" s="42" t="inlineStr">
        <is>
          <t>A11Y-005</t>
        </is>
      </c>
      <c r="C102" s="42" t="inlineStr">
        <is>
          <t>Responsive Layout</t>
        </is>
      </c>
      <c r="D102" s="48" t="inlineStr">
        <is>
          <t>P2</t>
        </is>
      </c>
      <c r="E102" s="48" t="inlineStr">
        <is>
          <t>Conditional</t>
        </is>
      </c>
      <c r="F102" s="48" t="inlineStr">
        <is>
          <t>Accessibility</t>
        </is>
      </c>
      <c r="G102" s="48" t="inlineStr">
        <is>
          <t>Confirmed layout constraint; visual impact needs runtime validation</t>
        </is>
      </c>
      <c r="H102" s="48" t="inlineStr">
        <is>
          <t>Yes</t>
        </is>
      </c>
      <c r="I102" s="48" t="inlineStr">
        <is>
          <t>No</t>
        </is>
      </c>
      <c r="J102" s="42" t="inlineStr">
        <is>
          <t>Create responsive density breakpoints and low-height layouts; avoid requiring viewport-wide horizontal scrolling</t>
        </is>
      </c>
      <c r="K102" s="42" t="inlineStr">
        <is>
          <t>The application and sequence workspace enforce large minimum widths, while dense fixed-height regions are likely to fail on 1366×768/1440×900 and split-screen. Horizontal overflow, clipped controls, and excessive nested scrolling are likely.</t>
        </is>
      </c>
      <c r="L102" s="42" t="inlineStr">
        <is>
          <t>Create responsive density breakpoints and low-height layouts; avoid requiring viewport-wide horizontal scrolling.</t>
        </is>
      </c>
      <c r="M102" s="42" t="inlineStr">
        <is>
          <t>Core workflows pass at 1366×768, 1440×900, 1920×1080, 4K, and Windows 150% scaling.</t>
        </is>
      </c>
      <c r="N102" s="42" t="inlineStr">
        <is>
          <t>global styles min-width and SequenceEditorWorkspace minWidth/fixed regions</t>
        </is>
      </c>
      <c r="O102" s="42" t="inlineStr">
        <is>
          <t>https://github.com/tj1784/Premiere316_AI_Director_Prototype_v2.0.0/commit/17234f7bcc9687d12afa23fbb88c6eff5be7e2a9</t>
        </is>
      </c>
      <c r="P102" s="42" t="inlineStr">
        <is>
          <t>Frontend + Accessibility QA</t>
        </is>
      </c>
      <c r="Q102" s="42" t="inlineStr">
        <is>
          <t>G4 — Accessibility &amp; release gates</t>
        </is>
      </c>
      <c r="R102" s="48" t="inlineStr">
        <is>
          <t>L</t>
        </is>
      </c>
      <c r="S102" s="42" t="str"/>
      <c r="T102" s="42" t="inlineStr">
        <is>
          <t>UAT-RESP-001,UAT-RESP-002,UAT-RESP-003,UAT-RESP-004</t>
        </is>
      </c>
      <c r="U102" s="48" t="inlineStr">
        <is>
          <t>Not Started</t>
        </is>
      </c>
      <c r="V102" s="48" t="n">
        <v>0</v>
      </c>
      <c r="W102" s="42" t="str"/>
      <c r="X102" s="110" t="n"/>
      <c r="Y102" s="42" t="inlineStr">
        <is>
          <t>Existing 74-item source audit</t>
        </is>
      </c>
      <c r="Z102" s="42" t="str"/>
    </row>
    <row r="103" ht="62" customHeight="1">
      <c r="A103" s="42" t="inlineStr">
        <is>
          <t>SEQ-PERF-001</t>
        </is>
      </c>
      <c r="B103" s="42" t="inlineStr">
        <is>
          <t>SEQ-PERF-001</t>
        </is>
      </c>
      <c r="C103" s="42" t="inlineStr">
        <is>
          <t>Sequence / Performance</t>
        </is>
      </c>
      <c r="D103" s="48" t="inlineStr">
        <is>
          <t>P2</t>
        </is>
      </c>
      <c r="E103" s="48" t="inlineStr">
        <is>
          <t>Conditional</t>
        </is>
      </c>
      <c r="F103" s="48" t="inlineStr">
        <is>
          <t>Performance / Test</t>
        </is>
      </c>
      <c r="G103" s="48" t="inlineStr">
        <is>
          <t>Missing performance budget</t>
        </is>
      </c>
      <c r="H103" s="48" t="inlineStr">
        <is>
          <t>Yes</t>
        </is>
      </c>
      <c r="I103" s="48" t="inlineStr">
        <is>
          <t>Yes</t>
        </is>
      </c>
      <c r="J103" s="42" t="inlineStr">
        <is>
          <t>Define measurable budgets for seek latency, scrub response, cut readiness, dropped frames, CPU, decoder count, and memory, then gate representative fixtures</t>
        </is>
      </c>
      <c r="K103" s="42" t="inlineStr">
        <is>
          <t>No published latency, dropped-frame, memory, or responsiveness budget exists for continuous scrubbing and long high-resolution edits. Performance regressions cannot be distinguished from acceptable preview limitations.</t>
        </is>
      </c>
      <c r="L103" s="42" t="inlineStr">
        <is>
          <t>Define measurable budgets for seek latency, scrub response, cut readiness, dropped frames, CPU, decoder count, and memory, then gate representative fixtures.</t>
        </is>
      </c>
      <c r="M103" s="42" t="inlineStr">
        <is>
          <t>The agreed workstation fixtures meet budgets and failures produce reproducible performance traces.</t>
        </is>
      </c>
      <c r="N103" s="42" t="inlineStr">
        <is>
          <t>Release criteria and test inventory</t>
        </is>
      </c>
      <c r="O103" s="42" t="inlineStr">
        <is>
          <t>https://github.com/tj1784/Premiere316_AI_Director_Prototype_v2.0.0/commit/17234f7bcc9687d12afa23fbb88c6eff5be7e2a9</t>
        </is>
      </c>
      <c r="P103" s="42" t="inlineStr">
        <is>
          <t>QA Performance + Media Engine</t>
        </is>
      </c>
      <c r="Q103" s="42" t="inlineStr">
        <is>
          <t>G4 — Accessibility &amp; release gates</t>
        </is>
      </c>
      <c r="R103" s="48" t="inlineStr">
        <is>
          <t>L</t>
        </is>
      </c>
      <c r="S103" s="42" t="str"/>
      <c r="T103" s="42" t="inlineStr">
        <is>
          <t>UAT-PERF-001</t>
        </is>
      </c>
      <c r="U103" s="48" t="inlineStr">
        <is>
          <t>Not Started</t>
        </is>
      </c>
      <c r="V103" s="48" t="n">
        <v>0</v>
      </c>
      <c r="W103" s="42" t="str"/>
      <c r="X103" s="110" t="n"/>
      <c r="Y103" s="42" t="inlineStr">
        <is>
          <t>User QA plan</t>
        </is>
      </c>
      <c r="Z103" s="42" t="str"/>
    </row>
    <row r="104" ht="62" customHeight="1">
      <c r="A104" s="42" t="inlineStr">
        <is>
          <t>SEQ-STATE-001</t>
        </is>
      </c>
      <c r="B104" s="42" t="inlineStr">
        <is>
          <t>SEQ-STATE-001</t>
        </is>
      </c>
      <c r="C104" s="42" t="inlineStr">
        <is>
          <t>Sequence / State Boundaries</t>
        </is>
      </c>
      <c r="D104" s="48" t="inlineStr">
        <is>
          <t>P2</t>
        </is>
      </c>
      <c r="E104" s="48" t="inlineStr">
        <is>
          <t>Conditional</t>
        </is>
      </c>
      <c r="F104" s="48" t="inlineStr">
        <is>
          <t>Test / Reliability</t>
        </is>
      </c>
      <c r="G104" s="48" t="inlineStr">
        <is>
          <t>Test/specification gap</t>
        </is>
      </c>
      <c r="H104" s="48" t="inlineStr">
        <is>
          <t>Yes</t>
        </is>
      </c>
      <c r="I104" s="48" t="inlineStr">
        <is>
          <t>Yes</t>
        </is>
      </c>
      <c r="J104" s="42" t="inlineStr">
        <is>
          <t>Create boundary fixtures and define control states, timecode behavior, saving, playback, and export expectations at each limit</t>
        </is>
      </c>
      <c r="K104" s="42" t="inlineStr">
        <is>
          <t>Behavior is not explicitly specified or behaviorally tested for an empty edit, a one-frame clip, maximum-duration edits, and sequences near configured item limits. Boundary conditions can produce disabled controls, invalid step values, overflow, or export/preview disagreement.</t>
        </is>
      </c>
      <c r="L104" s="42" t="inlineStr">
        <is>
          <t>Create boundary fixtures and define control states, timecode behavior, saving, playback, and export expectations at each limit.</t>
        </is>
      </c>
      <c r="M104" s="42" t="inlineStr">
        <is>
          <t>Every supported boundary opens, edits, saves, plays or explains why it cannot, and exports without inconsistent duration or control state.</t>
        </is>
      </c>
      <c r="N104" s="42" t="inlineStr">
        <is>
          <t>Sequence limits and current behavioral test inventory</t>
        </is>
      </c>
      <c r="O104" s="42" t="inlineStr">
        <is>
          <t>https://github.com/tj1784/Premiere316_AI_Director_Prototype_v2.0.0/commit/17234f7bcc9687d12afa23fbb88c6eff5be7e2a9</t>
        </is>
      </c>
      <c r="P104" s="42" t="inlineStr">
        <is>
          <t>QA Automation + Media Engine</t>
        </is>
      </c>
      <c r="Q104" s="42" t="inlineStr">
        <is>
          <t>G4 — Accessibility &amp; release gates</t>
        </is>
      </c>
      <c r="R104" s="48" t="inlineStr">
        <is>
          <t>M</t>
        </is>
      </c>
      <c r="S104" s="42" t="str"/>
      <c r="T104" s="42" t="inlineStr">
        <is>
          <t>UAT-PLAY-021</t>
        </is>
      </c>
      <c r="U104" s="48" t="inlineStr">
        <is>
          <t>Not Started</t>
        </is>
      </c>
      <c r="V104" s="48" t="n">
        <v>0</v>
      </c>
      <c r="W104" s="42" t="str"/>
      <c r="X104" s="110" t="n"/>
      <c r="Y104" s="42" t="inlineStr">
        <is>
          <t>User QA plan</t>
        </is>
      </c>
      <c r="Z104" s="42" t="str"/>
    </row>
    <row r="105" ht="62" customHeight="1">
      <c r="A105" s="42" t="inlineStr">
        <is>
          <t>PROC-005</t>
        </is>
      </c>
      <c r="B105" s="42" t="inlineStr">
        <is>
          <t>PROC-005</t>
        </is>
      </c>
      <c r="C105" s="42" t="inlineStr">
        <is>
          <t>Test Coverage</t>
        </is>
      </c>
      <c r="D105" s="48" t="inlineStr">
        <is>
          <t>P2</t>
        </is>
      </c>
      <c r="E105" s="48" t="inlineStr">
        <is>
          <t>Conditional</t>
        </is>
      </c>
      <c r="F105" s="48" t="inlineStr">
        <is>
          <t>QA / Release</t>
        </is>
      </c>
      <c r="G105" s="48" t="inlineStr">
        <is>
          <t>Confirmed gap</t>
        </is>
      </c>
      <c r="H105" s="48" t="inlineStr">
        <is>
          <t>Yes</t>
        </is>
      </c>
      <c r="I105" s="48" t="inlineStr">
        <is>
          <t>No</t>
        </is>
      </c>
      <c r="J105" s="42" t="inlineStr">
        <is>
          <t>Land tests with each feature, not as a later patch</t>
        </is>
      </c>
      <c r="K105" s="42" t="inlineStr">
        <is>
          <t>No tests were added for the advertised interactions in this commit. The new behavior has no regression lock.</t>
        </is>
      </c>
      <c r="L105" s="42" t="inlineStr">
        <is>
          <t>Land tests with each feature, not as a later patch.</t>
        </is>
      </c>
      <c r="M105" s="42" t="inlineStr">
        <is>
          <t>Every blocker and primary happy path has an automated regression test.</t>
        </is>
      </c>
      <c r="N105" s="42" t="inlineStr">
        <is>
          <t>17234f7 changed-file list</t>
        </is>
      </c>
      <c r="O105" s="42" t="inlineStr">
        <is>
          <t>https://github.com/tj1784/Premiere316_AI_Director_Prototype_v2.0.0/commit/17234f7bcc9687d12afa23fbb88c6eff5be7e2a9</t>
        </is>
      </c>
      <c r="P105" s="42" t="inlineStr">
        <is>
          <t>Release Engineering</t>
        </is>
      </c>
      <c r="Q105" s="42" t="inlineStr">
        <is>
          <t>G4 — Accessibility &amp; release gates</t>
        </is>
      </c>
      <c r="R105" s="48" t="inlineStr">
        <is>
          <t>M</t>
        </is>
      </c>
      <c r="S105" s="42" t="inlineStr">
        <is>
          <t>QA-001</t>
        </is>
      </c>
      <c r="T105" s="42" t="inlineStr">
        <is>
          <t>UAT-REG-002</t>
        </is>
      </c>
      <c r="U105" s="48" t="inlineStr">
        <is>
          <t>In Progress</t>
        </is>
      </c>
      <c r="V105" s="48" t="n">
        <v>50</v>
      </c>
      <c r="W105" s="42" t="str"/>
      <c r="X105" s="110" t="n"/>
      <c r="Y105" s="42" t="inlineStr">
        <is>
          <t>Existing 74-item source audit</t>
        </is>
      </c>
      <c r="Z105" s="42" t="inlineStr">
        <is>
          <t>Implemented 2026-08-22: Gate 1 tests landed with the feature</t>
        </is>
      </c>
    </row>
    <row r="106" ht="62" customHeight="1">
      <c r="A106" s="42" t="inlineStr">
        <is>
          <t>A11Y-009</t>
        </is>
      </c>
      <c r="B106" s="42" t="inlineStr">
        <is>
          <t>A11Y-009</t>
        </is>
      </c>
      <c r="C106" s="42" t="inlineStr">
        <is>
          <t>Accessibility / Dynamic Content</t>
        </is>
      </c>
      <c r="D106" s="48" t="inlineStr">
        <is>
          <t>P3</t>
        </is>
      </c>
      <c r="E106" s="48" t="inlineStr">
        <is>
          <t>No</t>
        </is>
      </c>
      <c r="F106" s="48" t="inlineStr">
        <is>
          <t>Accessibility</t>
        </is>
      </c>
      <c r="G106" s="48" t="inlineStr">
        <is>
          <t>High-confidence usability risk</t>
        </is>
      </c>
      <c r="H106" s="48" t="inlineStr">
        <is>
          <t>Yes</t>
        </is>
      </c>
      <c r="I106" s="48" t="inlineStr">
        <is>
          <t>No</t>
        </is>
      </c>
      <c r="J106" s="42" t="inlineStr">
        <is>
          <t>Preserve stable focus/selection and announce meaningful changes</t>
        </is>
      </c>
      <c r="K106" s="42" t="inlineStr">
        <is>
          <t>Periodic refresh/filter changes can reorder content without preserving focus or announcing the update. Keyboard and screen-reader users can lose their place.</t>
        </is>
      </c>
      <c r="L106" s="42" t="inlineStr">
        <is>
          <t>Preserve stable focus/selection and announce meaningful changes.</t>
        </is>
      </c>
      <c r="M106" s="42" t="inlineStr">
        <is>
          <t>Refresh does not move focus or silently change the active item.</t>
        </is>
      </c>
      <c r="N106" s="42" t="inlineStr">
        <is>
          <t>Sequence media refresh and list rendering</t>
        </is>
      </c>
      <c r="O106" s="42" t="inlineStr">
        <is>
          <t>https://github.com/tj1784/Premiere316_AI_Director_Prototype_v2.0.0/commit/17234f7bcc9687d12afa23fbb88c6eff5be7e2a9</t>
        </is>
      </c>
      <c r="P106" s="42" t="inlineStr">
        <is>
          <t>Frontend + Accessibility QA</t>
        </is>
      </c>
      <c r="Q106" s="42" t="inlineStr">
        <is>
          <t>G4 — Accessibility &amp; release gates</t>
        </is>
      </c>
      <c r="R106" s="48" t="inlineStr">
        <is>
          <t>S</t>
        </is>
      </c>
      <c r="S106" s="42" t="str"/>
      <c r="T106" s="42" t="inlineStr">
        <is>
          <t>UAT-A11Y-001,UAT-REG-009</t>
        </is>
      </c>
      <c r="U106" s="48" t="inlineStr">
        <is>
          <t>Not Started</t>
        </is>
      </c>
      <c r="V106" s="48" t="n">
        <v>0</v>
      </c>
      <c r="W106" s="42" t="str"/>
      <c r="X106" s="110" t="n"/>
      <c r="Y106" s="42" t="inlineStr">
        <is>
          <t>Existing 74-item source audit</t>
        </is>
      </c>
      <c r="Z106" s="42" t="str"/>
    </row>
    <row r="107" ht="62" customHeight="1">
      <c r="A107" s="42" t="inlineStr">
        <is>
          <t>A11Y-012</t>
        </is>
      </c>
      <c r="B107" s="42" t="inlineStr">
        <is>
          <t>A11Y-012</t>
        </is>
      </c>
      <c r="C107" s="42" t="inlineStr">
        <is>
          <t>Accessibility / Motion</t>
        </is>
      </c>
      <c r="D107" s="48" t="inlineStr">
        <is>
          <t>P3</t>
        </is>
      </c>
      <c r="E107" s="48" t="inlineStr">
        <is>
          <t>No</t>
        </is>
      </c>
      <c r="F107" s="48" t="inlineStr">
        <is>
          <t>Accessibility / Polish</t>
        </is>
      </c>
      <c r="G107" s="48" t="inlineStr">
        <is>
          <t>Missing preference handling</t>
        </is>
      </c>
      <c r="H107" s="48" t="inlineStr">
        <is>
          <t>Yes</t>
        </is>
      </c>
      <c r="I107" s="48" t="inlineStr">
        <is>
          <t>Yes</t>
        </is>
      </c>
      <c r="J107" s="42" t="inlineStr">
        <is>
          <t>Respect prefers-reduced-motion for nonessential transitions while preserving immediate state changes and playback comprehension</t>
        </is>
      </c>
      <c r="K107" s="42" t="inlineStr">
        <is>
          <t>Reduced-motion behavior is not defined or tested for playhead effects, panel transitions, coach marks, and micro-interactions. Motion-sensitive users can receive unnecessary animation, while disabling motion carelessly could remove state feedback.</t>
        </is>
      </c>
      <c r="L107" s="42" t="inlineStr">
        <is>
          <t>Respect prefers-reduced-motion for nonessential transitions while preserving immediate state changes and playback comprehension.</t>
        </is>
      </c>
      <c r="M107" s="42" t="inlineStr">
        <is>
          <t>Reduced-motion mode removes decorative motion, keeps all information available, and passes the same functional tests.</t>
        </is>
      </c>
      <c r="N107" s="42" t="inlineStr">
        <is>
          <t>Current CSS/interaction review and new QA plan</t>
        </is>
      </c>
      <c r="O107" s="42" t="inlineStr">
        <is>
          <t>https://github.com/tj1784/Premiere316_AI_Director_Prototype_v2.0.0/commit/17234f7bcc9687d12afa23fbb88c6eff5be7e2a9</t>
        </is>
      </c>
      <c r="P107" s="42" t="inlineStr">
        <is>
          <t>Frontend + UX</t>
        </is>
      </c>
      <c r="Q107" s="42" t="inlineStr">
        <is>
          <t>G4 — Accessibility &amp; release gates</t>
        </is>
      </c>
      <c r="R107" s="48" t="inlineStr">
        <is>
          <t>S</t>
        </is>
      </c>
      <c r="S107" s="42" t="str"/>
      <c r="T107" s="42" t="inlineStr">
        <is>
          <t>UAT-A11Y-007</t>
        </is>
      </c>
      <c r="U107" s="48" t="inlineStr">
        <is>
          <t>Not Started</t>
        </is>
      </c>
      <c r="V107" s="48" t="n">
        <v>0</v>
      </c>
      <c r="W107" s="42" t="str"/>
      <c r="X107" s="110" t="n"/>
      <c r="Y107" s="42" t="inlineStr">
        <is>
          <t>User QA plan</t>
        </is>
      </c>
      <c r="Z107" s="42" t="str"/>
    </row>
    <row r="108" ht="62" customHeight="1">
      <c r="A108" s="42" t="inlineStr">
        <is>
          <t>A11Y-010</t>
        </is>
      </c>
      <c r="B108" s="42" t="inlineStr">
        <is>
          <t>A11Y-010</t>
        </is>
      </c>
      <c r="C108" s="42" t="inlineStr">
        <is>
          <t>Sequence / Audio UI</t>
        </is>
      </c>
      <c r="D108" s="48" t="inlineStr">
        <is>
          <t>P3</t>
        </is>
      </c>
      <c r="E108" s="48" t="inlineStr">
        <is>
          <t>No</t>
        </is>
      </c>
      <c r="F108" s="48" t="inlineStr">
        <is>
          <t>Accessibility</t>
        </is>
      </c>
      <c r="G108" s="48" t="inlineStr">
        <is>
          <t>Visual truthfulness weakness</t>
        </is>
      </c>
      <c r="H108" s="48" t="inlineStr">
        <is>
          <t>Yes</t>
        </is>
      </c>
      <c r="I108" s="48" t="inlineStr">
        <is>
          <t>No</t>
        </is>
      </c>
      <c r="J108" s="42" t="inlineStr">
        <is>
          <t>Render real waveform data or use a neutral clip texture</t>
        </is>
      </c>
      <c r="K108" s="42" t="inlineStr">
        <is>
          <t>Waveform-like bars are decorative rather than derived from audio. The UI implies information it does not actually convey.</t>
        </is>
      </c>
      <c r="L108" s="42" t="inlineStr">
        <is>
          <t>Render real waveform data or use a neutral clip texture.</t>
        </is>
      </c>
      <c r="M108" s="42" t="inlineStr">
        <is>
          <t>Visual amplitude corresponds to the source or is clearly non-informational.</t>
        </is>
      </c>
      <c r="N108" s="42" t="inlineStr">
        <is>
          <t>Sequence audio clip rendering</t>
        </is>
      </c>
      <c r="O108" s="42" t="inlineStr">
        <is>
          <t>https://github.com/tj1784/Premiere316_AI_Director_Prototype_v2.0.0/commit/17234f7bcc9687d12afa23fbb88c6eff5be7e2a9</t>
        </is>
      </c>
      <c r="P108" s="42" t="inlineStr">
        <is>
          <t>Frontend + Accessibility QA</t>
        </is>
      </c>
      <c r="Q108" s="42" t="inlineStr">
        <is>
          <t>G4 — Accessibility &amp; release gates</t>
        </is>
      </c>
      <c r="R108" s="48" t="inlineStr">
        <is>
          <t>S</t>
        </is>
      </c>
      <c r="S108" s="42" t="str"/>
      <c r="T108" s="42" t="inlineStr">
        <is>
          <t>UAT-PLAY-014</t>
        </is>
      </c>
      <c r="U108" s="48" t="inlineStr">
        <is>
          <t>Not Started</t>
        </is>
      </c>
      <c r="V108" s="48" t="n">
        <v>0</v>
      </c>
      <c r="W108" s="42" t="str"/>
      <c r="X108" s="110" t="n"/>
      <c r="Y108" s="42" t="inlineStr">
        <is>
          <t>Existing 74-item source audit</t>
        </is>
      </c>
      <c r="Z108" s="42" t="str"/>
    </row>
    <row r="109" ht="62" customHeight="1">
      <c r="A109" s="42" t="inlineStr">
        <is>
          <t>PROC-003</t>
        </is>
      </c>
      <c r="B109" s="42" t="inlineStr">
        <is>
          <t>PROC-003</t>
        </is>
      </c>
      <c r="C109" s="42" t="inlineStr">
        <is>
          <t>Source Integrity</t>
        </is>
      </c>
      <c r="D109" s="48" t="inlineStr">
        <is>
          <t>P3</t>
        </is>
      </c>
      <c r="E109" s="48" t="inlineStr">
        <is>
          <t>No</t>
        </is>
      </c>
      <c r="F109" s="48" t="inlineStr">
        <is>
          <t>Release / Process</t>
        </is>
      </c>
      <c r="G109" s="48" t="inlineStr">
        <is>
          <t>Confirmed process note</t>
        </is>
      </c>
      <c r="H109" s="48" t="inlineStr">
        <is>
          <t>Yes</t>
        </is>
      </c>
      <c r="I109" s="48" t="inlineStr">
        <is>
          <t>No</t>
        </is>
      </c>
      <c r="J109" s="42" t="inlineStr">
        <is>
          <t>Sign protected release commits/tags if provenance is a project requirement</t>
        </is>
      </c>
      <c r="K109" s="42" t="inlineStr">
        <is>
          <t>The commit is unsigned. Provenance is weaker than a verified release workflow.</t>
        </is>
      </c>
      <c r="L109" s="42" t="inlineStr">
        <is>
          <t>Sign protected release commits/tags if provenance is a project requirement.</t>
        </is>
      </c>
      <c r="M109" s="42" t="inlineStr">
        <is>
          <t>Release tag/commit is verified.</t>
        </is>
      </c>
      <c r="N109" s="42" t="inlineStr">
        <is>
          <t>GitHub commit verification metadata</t>
        </is>
      </c>
      <c r="O109" s="42" t="inlineStr">
        <is>
          <t>https://github.com/tj1784/Premiere316_AI_Director_Prototype_v2.0.0/commit/17234f7bcc9687d12afa23fbb88c6eff5be7e2a9</t>
        </is>
      </c>
      <c r="P109" s="42" t="inlineStr">
        <is>
          <t>Repo Maintainer + Release</t>
        </is>
      </c>
      <c r="Q109" s="42" t="inlineStr">
        <is>
          <t>G4 — Accessibility &amp; release gates</t>
        </is>
      </c>
      <c r="R109" s="48" t="inlineStr">
        <is>
          <t>S</t>
        </is>
      </c>
      <c r="S109" s="42" t="str"/>
      <c r="T109" s="42" t="inlineStr">
        <is>
          <t>UAT-REG-010</t>
        </is>
      </c>
      <c r="U109" s="48" t="inlineStr">
        <is>
          <t>Not Started</t>
        </is>
      </c>
      <c r="V109" s="48" t="n">
        <v>0</v>
      </c>
      <c r="W109" s="42" t="str"/>
      <c r="X109" s="110" t="n"/>
      <c r="Y109" s="42" t="inlineStr">
        <is>
          <t>Existing 74-item source audit</t>
        </is>
      </c>
      <c r="Z109" s="42" t="str"/>
    </row>
    <row r="110" ht="62" customHeight="1">
      <c r="A110" s="42" t="inlineStr">
        <is>
          <t>QA-004</t>
        </is>
      </c>
      <c r="B110" s="42" t="inlineStr">
        <is>
          <t>QA-004</t>
        </is>
      </c>
      <c r="C110" s="42" t="inlineStr">
        <is>
          <t>UX Quality Process</t>
        </is>
      </c>
      <c r="D110" s="48" t="inlineStr">
        <is>
          <t>P3</t>
        </is>
      </c>
      <c r="E110" s="48" t="inlineStr">
        <is>
          <t>No</t>
        </is>
      </c>
      <c r="F110" s="48" t="inlineStr">
        <is>
          <t>UX QA</t>
        </is>
      </c>
      <c r="G110" s="48" t="inlineStr">
        <is>
          <t>Missing formal review artifact</t>
        </is>
      </c>
      <c r="H110" s="48" t="inlineStr">
        <is>
          <t>Yes</t>
        </is>
      </c>
      <c r="I110" s="48" t="inlineStr">
        <is>
          <t>Yes</t>
        </is>
      </c>
      <c r="J110" s="42" t="inlineStr">
        <is>
          <t>Run and record a 0–4 heuristic score for Sequence, Folder Drop, and Comfy Picker with evidence, linked tasks, owner, and re-review date</t>
        </is>
      </c>
      <c r="K110" s="42" t="inlineStr">
        <is>
          <t>The plan calls for all ten Nielsen heuristics, but the prior deliverables did not include a feature-by-heuristic scoring sheet. Heuristic findings can be discussed inconsistently and are difficult to compare across iterations.</t>
        </is>
      </c>
      <c r="L110" s="42" t="inlineStr">
        <is>
          <t>Run and record a 0–4 heuristic score for Sequence, Folder Drop, and Comfy Picker with evidence, linked tasks, owner, and re-review date.</t>
        </is>
      </c>
      <c r="M110" s="42" t="inlineStr">
        <is>
          <t>All 30 feature/heuristic cells have evidence and remediation links; scores improve or receive an approved exception.</t>
        </is>
      </c>
      <c r="N110" s="42" t="inlineStr">
        <is>
          <t>New QA plan</t>
        </is>
      </c>
      <c r="O110" s="42" t="inlineStr">
        <is>
          <t>https://github.com/tj1784/Premiere316_AI_Director_Prototype_v2.0.0/commit/17234f7bcc9687d12afa23fbb88c6eff5be7e2a9</t>
        </is>
      </c>
      <c r="P110" s="42" t="inlineStr">
        <is>
          <t>UX Research / QA</t>
        </is>
      </c>
      <c r="Q110" s="42" t="inlineStr">
        <is>
          <t>G4 — Accessibility &amp; release gates</t>
        </is>
      </c>
      <c r="R110" s="48" t="inlineStr">
        <is>
          <t>M</t>
        </is>
      </c>
      <c r="S110" s="42" t="str"/>
      <c r="T110" s="42" t="inlineStr">
        <is>
          <t>UAT-HEUR-001</t>
        </is>
      </c>
      <c r="U110" s="48" t="inlineStr">
        <is>
          <t>Not Started</t>
        </is>
      </c>
      <c r="V110" s="48" t="n">
        <v>0</v>
      </c>
      <c r="W110" s="42" t="str"/>
      <c r="X110" s="110" t="n"/>
      <c r="Y110" s="42" t="inlineStr">
        <is>
          <t>User QA plan</t>
        </is>
      </c>
      <c r="Z110" s="42" t="str"/>
    </row>
    <row r="111" ht="62" customHeight="1">
      <c r="A111" s="42" t="inlineStr">
        <is>
          <t>SCOPE-003</t>
        </is>
      </c>
      <c r="B111" s="42" t="inlineStr">
        <is>
          <t>SCOPE-003</t>
        </is>
      </c>
      <c r="C111" s="42" t="inlineStr">
        <is>
          <t>Product Scope / Comfy Picker</t>
        </is>
      </c>
      <c r="D111" s="48" t="inlineStr">
        <is>
          <t>P2</t>
        </is>
      </c>
      <c r="E111" s="48" t="inlineStr">
        <is>
          <t>Conditional</t>
        </is>
      </c>
      <c r="F111" s="48" t="inlineStr">
        <is>
          <t>Product Decision</t>
        </is>
      </c>
      <c r="G111" s="48" t="inlineStr">
        <is>
          <t>Decision required</t>
        </is>
      </c>
      <c r="H111" s="48" t="inlineStr">
        <is>
          <t>Decision</t>
        </is>
      </c>
      <c r="I111" s="48" t="inlineStr">
        <is>
          <t>Yes</t>
        </is>
      </c>
      <c r="J111" s="42" t="inlineStr">
        <is>
          <t>Name and scope the current feature as Workflow Picker</t>
        </is>
      </c>
      <c r="K111" s="42" t="inlineStr">
        <is>
          <t>The generic Comfy section assumes a gallery-style asset browser with folders, thumbnails, and multi-select, but `17234f7` implements workflow selection for the embedded canvas. The wrong mental model can distort both QA and implementation priorities.</t>
        </is>
      </c>
      <c r="L111" s="42" t="inlineStr">
        <is>
          <t>Name and scope the current feature as Workflow Picker. Decide separately whether an Asset Picker/Gallery is required and which data source it owns.</t>
        </is>
      </c>
      <c r="M111" s="42" t="inlineStr">
        <is>
          <t>Current release criteria test the workflow picker; a gallery is not silently added or treated as a missing bug without an approved epic.</t>
        </is>
      </c>
      <c r="N111" s="42" t="inlineStr">
        <is>
          <t>Current ComfyUIWorkspace versus supplied QA plan</t>
        </is>
      </c>
      <c r="O111" s="42" t="inlineStr">
        <is>
          <t>https://github.com/tj1784/Premiere316_AI_Director_Prototype_v2.0.0/commit/17234f7bcc9687d12afa23fbb88c6eff5be7e2a9</t>
        </is>
      </c>
      <c r="P111" s="42" t="inlineStr">
        <is>
          <t>Product</t>
        </is>
      </c>
      <c r="Q111" s="42" t="inlineStr">
        <is>
          <t>Future — Product decisions</t>
        </is>
      </c>
      <c r="R111" s="48" t="inlineStr">
        <is>
          <t>S</t>
        </is>
      </c>
      <c r="S111" s="42" t="str"/>
      <c r="T111" s="42" t="inlineStr">
        <is>
          <t>UAT-UX-003</t>
        </is>
      </c>
      <c r="U111" s="48" t="inlineStr">
        <is>
          <t>Done</t>
        </is>
      </c>
      <c r="V111" s="48" t="n">
        <v>100</v>
      </c>
      <c r="W111" s="42" t="str"/>
      <c r="X111" s="110" t="n"/>
      <c r="Y111" s="42" t="inlineStr">
        <is>
          <t>Reconciliation scope correction</t>
        </is>
      </c>
      <c r="Z111" s="42" t="inlineStr">
        <is>
          <t>Implemented 2026-08-22: ADR 0001: Workflow Picker, not gallery</t>
        </is>
      </c>
    </row>
    <row r="112" ht="62" customHeight="1">
      <c r="A112" s="42" t="inlineStr">
        <is>
          <t>SCOPE-001</t>
        </is>
      </c>
      <c r="B112" s="42" t="inlineStr">
        <is>
          <t>SCOPE-001</t>
        </is>
      </c>
      <c r="C112" s="42" t="inlineStr">
        <is>
          <t>Product Scope / Platform</t>
        </is>
      </c>
      <c r="D112" s="48" t="inlineStr">
        <is>
          <t>P2</t>
        </is>
      </c>
      <c r="E112" s="48" t="inlineStr">
        <is>
          <t>Conditional</t>
        </is>
      </c>
      <c r="F112" s="48" t="inlineStr">
        <is>
          <t>Product Decision</t>
        </is>
      </c>
      <c r="G112" s="48" t="inlineStr">
        <is>
          <t>Decision required</t>
        </is>
      </c>
      <c r="H112" s="48" t="inlineStr">
        <is>
          <t>Decision</t>
        </is>
      </c>
      <c r="I112" s="48" t="inlineStr">
        <is>
          <t>Yes</t>
        </is>
      </c>
      <c r="J112" s="42" t="inlineStr">
        <is>
          <t>Approve a current release support matrix, recommended as Windows 11 with supported Chromium/Edge versions, then define later expansion epics separately</t>
        </is>
      </c>
      <c r="K112" s="42" t="inlineStr">
        <is>
          <t>The generic plan requests desktop, tablet, mobile, Safari, iOS, and Android coverage, while the application is a local workstation product with Windows scripts, local ComfyUI, and desktop-width assumptions. An undefined support boundary either creates impossible release criteria or leaves the actual primary platform under-tested.</t>
        </is>
      </c>
      <c r="L112" s="42" t="inlineStr">
        <is>
          <t>Approve a current release support matrix, recommended as Windows 11 with supported Chromium/Edge versions, then define later expansion epics separately.</t>
        </is>
      </c>
      <c r="M112" s="42" t="inlineStr">
        <is>
          <t>An ADR/spec lists supported and unsupported platforms, and QA/UX requirements align to it.</t>
        </is>
      </c>
      <c r="N112" s="42" t="inlineStr">
        <is>
          <t>Repository/runtime architecture versus generic cross-device matrix</t>
        </is>
      </c>
      <c r="O112" s="42" t="inlineStr">
        <is>
          <t>https://github.com/tj1784/Premiere316_AI_Director_Prototype_v2.0.0/commit/17234f7bcc9687d12afa23fbb88c6eff5be7e2a9</t>
        </is>
      </c>
      <c r="P112" s="42" t="inlineStr">
        <is>
          <t>Product</t>
        </is>
      </c>
      <c r="Q112" s="42" t="inlineStr">
        <is>
          <t>Future — Product decisions</t>
        </is>
      </c>
      <c r="R112" s="48" t="inlineStr">
        <is>
          <t>S</t>
        </is>
      </c>
      <c r="S112" s="42" t="str"/>
      <c r="T112" s="42" t="inlineStr">
        <is>
          <t>UAT-REG-011</t>
        </is>
      </c>
      <c r="U112" s="48" t="inlineStr">
        <is>
          <t>Done</t>
        </is>
      </c>
      <c r="V112" s="48" t="n">
        <v>100</v>
      </c>
      <c r="W112" s="42" t="str"/>
      <c r="X112" s="110" t="n"/>
      <c r="Y112" s="42" t="inlineStr">
        <is>
          <t>Reconciliation scope correction</t>
        </is>
      </c>
      <c r="Z112" s="42" t="inlineStr">
        <is>
          <t>Implemented 2026-08-22: ADR 0001: Windows 11 + Chromium/Edge</t>
        </is>
      </c>
    </row>
    <row r="113" ht="62" customHeight="1">
      <c r="A113" s="42" t="inlineStr">
        <is>
          <t>SCOPE-004</t>
        </is>
      </c>
      <c r="B113" s="42" t="inlineStr">
        <is>
          <t>SCOPE-004</t>
        </is>
      </c>
      <c r="C113" s="42" t="inlineStr">
        <is>
          <t>Product Scope / Takes</t>
        </is>
      </c>
      <c r="D113" s="48" t="inlineStr">
        <is>
          <t>P2</t>
        </is>
      </c>
      <c r="E113" s="48" t="inlineStr">
        <is>
          <t>Conditional</t>
        </is>
      </c>
      <c r="F113" s="48" t="inlineStr">
        <is>
          <t>Product Decision</t>
        </is>
      </c>
      <c r="G113" s="48" t="inlineStr">
        <is>
          <t>Decision required</t>
        </is>
      </c>
      <c r="H113" s="48" t="inlineStr">
        <is>
          <t>Decision</t>
        </is>
      </c>
      <c r="I113" s="48" t="inlineStr">
        <is>
          <t>Yes</t>
        </is>
      </c>
      <c r="J113" s="42" t="inlineStr">
        <is>
          <t>Approve the take domain model and list which operations are required for the next release versus roadmap</t>
        </is>
      </c>
      <c r="K113" s="42" t="inlineStr">
        <is>
          <t>The supplied plan assumes a complete take-management CRUD system, while current takes are generated/imported media records associated with storyboard/sequence context. Without a data-model decision, rename/delete/duplicate/reorder behavior can conflict with active versions and canonical assets.</t>
        </is>
      </c>
      <c r="L113" s="42" t="inlineStr">
        <is>
          <t>Approve the take domain model and list which operations are required for the next release versus roadmap.</t>
        </is>
      </c>
      <c r="M113" s="42" t="inlineStr">
        <is>
          <t>QA labels only approved operations as defects; the implementation and persistence model match the decision.</t>
        </is>
      </c>
      <c r="N113" s="42" t="inlineStr">
        <is>
          <t>Current take/media implementation versus supplied plan</t>
        </is>
      </c>
      <c r="O113" s="42" t="inlineStr">
        <is>
          <t>https://github.com/tj1784/Premiere316_AI_Director_Prototype_v2.0.0/commit/17234f7bcc9687d12afa23fbb88c6eff5be7e2a9</t>
        </is>
      </c>
      <c r="P113" s="42" t="inlineStr">
        <is>
          <t>Product + Architecture</t>
        </is>
      </c>
      <c r="Q113" s="42" t="inlineStr">
        <is>
          <t>Future — Product decisions</t>
        </is>
      </c>
      <c r="R113" s="48" t="inlineStr">
        <is>
          <t>M</t>
        </is>
      </c>
      <c r="S113" s="42" t="inlineStr">
        <is>
          <t>TAKE-007</t>
        </is>
      </c>
      <c r="T113" s="42" t="str"/>
      <c r="U113" s="48" t="inlineStr">
        <is>
          <t>Done</t>
        </is>
      </c>
      <c r="V113" s="48" t="n">
        <v>100</v>
      </c>
      <c r="W113" s="42" t="str"/>
      <c r="X113" s="110" t="n"/>
      <c r="Y113" s="42" t="inlineStr">
        <is>
          <t>Reconciliation scope correction</t>
        </is>
      </c>
      <c r="Z113" s="42" t="inlineStr">
        <is>
          <t>Implemented 2026-08-22: ADR 0001: take model decision</t>
        </is>
      </c>
    </row>
    <row r="114" ht="62" customHeight="1">
      <c r="A114" s="42" t="inlineStr">
        <is>
          <t>TAKE-007</t>
        </is>
      </c>
      <c r="B114" s="42" t="inlineStr">
        <is>
          <t>TAKE-007</t>
        </is>
      </c>
      <c r="C114" s="42" t="inlineStr">
        <is>
          <t>Sequence / Takes</t>
        </is>
      </c>
      <c r="D114" s="48" t="inlineStr">
        <is>
          <t>P2</t>
        </is>
      </c>
      <c r="E114" s="48" t="inlineStr">
        <is>
          <t>Conditional</t>
        </is>
      </c>
      <c r="F114" s="48" t="inlineStr">
        <is>
          <t>Product Decision / Architecture</t>
        </is>
      </c>
      <c r="G114" s="48" t="inlineStr">
        <is>
          <t>Product-model gap</t>
        </is>
      </c>
      <c r="H114" s="48" t="inlineStr">
        <is>
          <t>Yes</t>
        </is>
      </c>
      <c r="I114" s="48" t="inlineStr">
        <is>
          <t>Yes</t>
        </is>
      </c>
      <c r="J114" s="42" t="inlineStr">
        <is>
          <t>Decide and document the take entity model before adding CRUD; define identity, versioning, active status, file lifecycle, and timeline references</t>
        </is>
      </c>
      <c r="K114" s="42" t="inlineStr">
        <is>
          <t>The exhaustive plan assumes formal take Create/Rename/Duplicate/Delete/Reorder operations, but the current UI primarily consumes generated/imported media records rather than a dedicated take entity. Implementing ad hoc CRUD against media files could create conflicting concepts of take identity, active version, and canonical source.</t>
        </is>
      </c>
      <c r="L114" s="42" t="inlineStr">
        <is>
          <t>Decide and document the take entity model before adding CRUD; define identity, versioning, active status, file lifecycle, and timeline references.</t>
        </is>
      </c>
      <c r="M114" s="42" t="inlineStr">
        <is>
          <t>An approved data model and interaction spec exists; unsupported CRUD is not presented as a current bug, and implemented operations preserve references and undo.</t>
        </is>
      </c>
      <c r="N114" s="42" t="inlineStr">
        <is>
          <t>Current sequence media/take model versus proposed QA plan</t>
        </is>
      </c>
      <c r="O114" s="42" t="inlineStr">
        <is>
          <t>https://github.com/tj1784/Premiere316_AI_Director_Prototype_v2.0.0/commit/17234f7bcc9687d12afa23fbb88c6eff5be7e2a9</t>
        </is>
      </c>
      <c r="P114" s="42" t="inlineStr">
        <is>
          <t>Product + Architecture</t>
        </is>
      </c>
      <c r="Q114" s="42" t="inlineStr">
        <is>
          <t>Future — Product decisions</t>
        </is>
      </c>
      <c r="R114" s="48" t="inlineStr">
        <is>
          <t>L</t>
        </is>
      </c>
      <c r="S114" s="42" t="str"/>
      <c r="T114" s="42" t="inlineStr">
        <is>
          <t>UAT-TAKE-011,UAT-TAKE-012</t>
        </is>
      </c>
      <c r="U114" s="48" t="inlineStr">
        <is>
          <t>Done</t>
        </is>
      </c>
      <c r="V114" s="48" t="n">
        <v>100</v>
      </c>
      <c r="W114" s="42" t="str"/>
      <c r="X114" s="110" t="n"/>
      <c r="Y114" s="42" t="inlineStr">
        <is>
          <t>User QA plan</t>
        </is>
      </c>
      <c r="Z114" s="42" t="inlineStr">
        <is>
          <t>Implemented 2026-08-22: ADR 0001: takes remain media records; CRUD deferred</t>
        </is>
      </c>
    </row>
    <row r="115" ht="62" customHeight="1">
      <c r="A115" s="42" t="inlineStr">
        <is>
          <t>TAKE-009</t>
        </is>
      </c>
      <c r="B115" s="42" t="inlineStr">
        <is>
          <t>TAKE-009</t>
        </is>
      </c>
      <c r="C115" s="42" t="inlineStr">
        <is>
          <t>Sequence / Takes</t>
        </is>
      </c>
      <c r="D115" s="48" t="inlineStr">
        <is>
          <t>P2</t>
        </is>
      </c>
      <c r="E115" s="48" t="inlineStr">
        <is>
          <t>Conditional</t>
        </is>
      </c>
      <c r="F115" s="48" t="inlineStr">
        <is>
          <t>Product / Recovery</t>
        </is>
      </c>
      <c r="G115" s="48" t="inlineStr">
        <is>
          <t>Error-prevention requirement</t>
        </is>
      </c>
      <c r="H115" s="48" t="inlineStr">
        <is>
          <t>Yes</t>
        </is>
      </c>
      <c r="I115" s="48" t="inlineStr">
        <is>
          <t>Yes</t>
        </is>
      </c>
      <c r="J115" s="42" t="inlineStr">
        <is>
          <t>Require soft delete and reference analysis; block or clearly confirm destructive actions; preserve an undo window and repair path</t>
        </is>
      </c>
      <c r="K115" s="42" t="inlineStr">
        <is>
          <t>The proposed destructive take operations have no defined soft-delete, undo, currently-playing, active-take, or timeline-reference policy. Deleting a referenced or playing take could create broken edits or irreversible media loss.</t>
        </is>
      </c>
      <c r="L115" s="42" t="inlineStr">
        <is>
          <t>Require soft delete and reference analysis; block or clearly confirm destructive actions; preserve an undo window and repair path.</t>
        </is>
      </c>
      <c r="M115" s="42" t="inlineStr">
        <is>
          <t>Deleting an active/referenced/playing take cannot silently break the sequence; undo restores metadata and media where supported.</t>
        </is>
      </c>
      <c r="N115" s="42" t="inlineStr">
        <is>
          <t>Proposed take-management scope</t>
        </is>
      </c>
      <c r="O115" s="42" t="inlineStr">
        <is>
          <t>https://github.com/tj1784/Premiere316_AI_Director_Prototype_v2.0.0/commit/17234f7bcc9687d12afa23fbb88c6eff5be7e2a9</t>
        </is>
      </c>
      <c r="P115" s="42" t="inlineStr">
        <is>
          <t>Product + Full Stack</t>
        </is>
      </c>
      <c r="Q115" s="42" t="inlineStr">
        <is>
          <t>Future — Product decisions</t>
        </is>
      </c>
      <c r="R115" s="48" t="inlineStr">
        <is>
          <t>L</t>
        </is>
      </c>
      <c r="S115" s="42" t="inlineStr">
        <is>
          <t>TAKE-007</t>
        </is>
      </c>
      <c r="T115" s="42" t="inlineStr">
        <is>
          <t>UAT-TAKE-012</t>
        </is>
      </c>
      <c r="U115" s="48" t="inlineStr">
        <is>
          <t>Not Started</t>
        </is>
      </c>
      <c r="V115" s="48" t="n">
        <v>0</v>
      </c>
      <c r="W115" s="42" t="str"/>
      <c r="X115" s="110" t="n"/>
      <c r="Y115" s="42" t="inlineStr">
        <is>
          <t>User QA plan</t>
        </is>
      </c>
      <c r="Z115" s="42" t="str"/>
    </row>
    <row r="116" ht="62" customHeight="1">
      <c r="A116" s="42" t="inlineStr">
        <is>
          <t>TAKE-011</t>
        </is>
      </c>
      <c r="B116" s="42" t="inlineStr">
        <is>
          <t>TAKE-011</t>
        </is>
      </c>
      <c r="C116" s="42" t="inlineStr">
        <is>
          <t>Sequence / Takes</t>
        </is>
      </c>
      <c r="D116" s="48" t="inlineStr">
        <is>
          <t>P2</t>
        </is>
      </c>
      <c r="E116" s="48" t="inlineStr">
        <is>
          <t>Conditional</t>
        </is>
      </c>
      <c r="F116" s="48" t="inlineStr">
        <is>
          <t>Architecture / Reliability</t>
        </is>
      </c>
      <c r="G116" s="48" t="inlineStr">
        <is>
          <t>Concurrency requirement</t>
        </is>
      </c>
      <c r="H116" s="48" t="inlineStr">
        <is>
          <t>Yes</t>
        </is>
      </c>
      <c r="I116" s="48" t="inlineStr">
        <is>
          <t>Yes</t>
        </is>
      </c>
      <c r="J116" s="42" t="inlineStr">
        <is>
          <t>Use revisioned/transactional take mutations and provide merge/reload choices that preserve user intent</t>
        </is>
      </c>
      <c r="K116" s="42" t="inlineStr">
        <is>
          <t>Formal take edits would need revision protection beyond the current sequence-save conflict path. Two windows could rename, promote, delete, or reorder the same take and silently lose one set of changes.</t>
        </is>
      </c>
      <c r="L116" s="42" t="inlineStr">
        <is>
          <t>Use revisioned/transactional take mutations and provide merge/reload choices that preserve user intent.</t>
        </is>
      </c>
      <c r="M116" s="42" t="inlineStr">
        <is>
          <t>Parallel conflicting take operations return a visible conflict and never lose or partially apply data.</t>
        </is>
      </c>
      <c r="N116" s="42" t="inlineStr">
        <is>
          <t>Current revision model and proposed take-management scope</t>
        </is>
      </c>
      <c r="O116" s="42" t="inlineStr">
        <is>
          <t>https://github.com/tj1784/Premiere316_AI_Director_Prototype_v2.0.0/commit/17234f7bcc9687d12afa23fbb88c6eff5be7e2a9</t>
        </is>
      </c>
      <c r="P116" s="42" t="inlineStr">
        <is>
          <t>Backend + Frontend</t>
        </is>
      </c>
      <c r="Q116" s="42" t="inlineStr">
        <is>
          <t>Future — Product decisions</t>
        </is>
      </c>
      <c r="R116" s="48" t="inlineStr">
        <is>
          <t>L</t>
        </is>
      </c>
      <c r="S116" s="42" t="inlineStr">
        <is>
          <t>TAKE-007</t>
        </is>
      </c>
      <c r="T116" s="42" t="inlineStr">
        <is>
          <t>UAT-TAKE-015</t>
        </is>
      </c>
      <c r="U116" s="48" t="inlineStr">
        <is>
          <t>Not Started</t>
        </is>
      </c>
      <c r="V116" s="48" t="n">
        <v>0</v>
      </c>
      <c r="W116" s="42" t="str"/>
      <c r="X116" s="110" t="n"/>
      <c r="Y116" s="42" t="inlineStr">
        <is>
          <t>User QA plan</t>
        </is>
      </c>
      <c r="Z116" s="42" t="str"/>
    </row>
    <row r="117" ht="62" customHeight="1">
      <c r="A117" s="42" t="inlineStr">
        <is>
          <t>SCOPE-005</t>
        </is>
      </c>
      <c r="B117" s="42" t="inlineStr">
        <is>
          <t>SCOPE-005</t>
        </is>
      </c>
      <c r="C117" s="42" t="inlineStr">
        <is>
          <t>Product Scope / External Drag UX</t>
        </is>
      </c>
      <c r="D117" s="48" t="inlineStr">
        <is>
          <t>P3</t>
        </is>
      </c>
      <c r="E117" s="48" t="inlineStr">
        <is>
          <t>No</t>
        </is>
      </c>
      <c r="F117" s="48" t="inlineStr">
        <is>
          <t>Product / Technical Decision</t>
        </is>
      </c>
      <c r="G117" s="48" t="inlineStr">
        <is>
          <t>Technical constraint clarification</t>
        </is>
      </c>
      <c r="H117" s="48" t="inlineStr">
        <is>
          <t>Decision</t>
        </is>
      </c>
      <c r="I117" s="48" t="inlineStr">
        <is>
          <t>Yes</t>
        </is>
      </c>
      <c r="J117" s="42" t="inlineStr">
        <is>
          <t>Limit acceptance to in-app drop-target feedback, destination preview, valid/invalid cursor where supported, and post-drop reporting; customize drag images only for drags initiated inside the app</t>
        </is>
      </c>
      <c r="K117" s="42" t="inlineStr">
        <is>
          <t>The plan asks for a fully controlled drag ghost for folders dragged from Explorer/Finder, but external drag imagery and cursor treatment are substantially controlled by the operating system/browser. The team could spend time chasing a visual behavior the web application cannot reliably own.</t>
        </is>
      </c>
      <c r="L117" s="42" t="inlineStr">
        <is>
          <t>Limit acceptance to in-app drop-target feedback, destination preview, valid/invalid cursor where supported, and post-drop reporting; customize drag images only for drags initiated inside the app.</t>
        </is>
      </c>
      <c r="M117" s="42" t="inlineStr">
        <is>
          <t>The spec distinguishes controllable in-app feedback from OS-controlled external drag visuals.</t>
        </is>
      </c>
      <c r="N117" s="42" t="inlineStr">
        <is>
          <t>Browser drag-and-drop platform behavior</t>
        </is>
      </c>
      <c r="O117" s="42" t="inlineStr">
        <is>
          <t>https://github.com/tj1784/Premiere316_AI_Director_Prototype_v2.0.0/commit/17234f7bcc9687d12afa23fbb88c6eff5be7e2a9</t>
        </is>
      </c>
      <c r="P117" s="42" t="inlineStr">
        <is>
          <t>Product + Frontend</t>
        </is>
      </c>
      <c r="Q117" s="42" t="inlineStr">
        <is>
          <t>Future — Product decisions</t>
        </is>
      </c>
      <c r="R117" s="48" t="inlineStr">
        <is>
          <t>S</t>
        </is>
      </c>
      <c r="S117" s="42" t="str"/>
      <c r="T117" s="42" t="inlineStr">
        <is>
          <t>UAT-DROP-021</t>
        </is>
      </c>
      <c r="U117" s="48" t="inlineStr">
        <is>
          <t>Done</t>
        </is>
      </c>
      <c r="V117" s="48" t="n">
        <v>100</v>
      </c>
      <c r="W117" s="42" t="str"/>
      <c r="X117" s="110" t="n"/>
      <c r="Y117" s="42" t="inlineStr">
        <is>
          <t>Reconciliation scope correction</t>
        </is>
      </c>
      <c r="Z117" s="42" t="inlineStr">
        <is>
          <t>Implemented 2026-08-22: ADR 0001: OS-owned external drag visuals</t>
        </is>
      </c>
    </row>
    <row r="118" ht="62" customHeight="1">
      <c r="A118" s="42" t="inlineStr">
        <is>
          <t>SCOPE-002</t>
        </is>
      </c>
      <c r="B118" s="42" t="inlineStr">
        <is>
          <t>SCOPE-002</t>
        </is>
      </c>
      <c r="C118" s="42" t="inlineStr">
        <is>
          <t>Product Scope / Theme</t>
        </is>
      </c>
      <c r="D118" s="48" t="inlineStr">
        <is>
          <t>P3</t>
        </is>
      </c>
      <c r="E118" s="48" t="inlineStr">
        <is>
          <t>No</t>
        </is>
      </c>
      <c r="F118" s="48" t="inlineStr">
        <is>
          <t>Product Decision</t>
        </is>
      </c>
      <c r="G118" s="48" t="inlineStr">
        <is>
          <t>Decision required</t>
        </is>
      </c>
      <c r="H118" s="48" t="inlineStr">
        <is>
          <t>Decision</t>
        </is>
      </c>
      <c r="I118" s="48" t="inlineStr">
        <is>
          <t>Yes</t>
        </is>
      </c>
      <c r="J118" s="42" t="inlineStr">
        <is>
          <t>Decide whether light mode is a roadmap feature</t>
        </is>
      </c>
      <c r="K118" s="42" t="inlineStr">
        <is>
          <t>The plan requires dark/light parity, but the product currently declares a dark color scheme. Treating light mode as a current defect would expand the release substantially; ignoring forced colors would still leave an accessibility gap.</t>
        </is>
      </c>
      <c r="L118" s="42" t="inlineStr">
        <is>
          <t>Decide whether light mode is a roadmap feature. Keep forced-colors/high-contrast support in the current accessibility gate regardless.</t>
        </is>
      </c>
      <c r="M118" s="42" t="inlineStr">
        <is>
          <t>Theme scope is documented; current release passes dark and forced-colors requirements, and light mode is either implemented or separately scheduled.</t>
        </is>
      </c>
      <c r="N118" s="42" t="inlineStr">
        <is>
          <t>client/src/styles.css color-scheme and generic QA plan</t>
        </is>
      </c>
      <c r="O118" s="42" t="inlineStr">
        <is>
          <t>https://github.com/tj1784/Premiere316_AI_Director_Prototype_v2.0.0/blob/17234f7bcc9687d12afa23fbb88c6eff5be7e2a9/client/src/styles.css</t>
        </is>
      </c>
      <c r="P118" s="42" t="inlineStr">
        <is>
          <t>Product + UX</t>
        </is>
      </c>
      <c r="Q118" s="42" t="inlineStr">
        <is>
          <t>Future — Product decisions</t>
        </is>
      </c>
      <c r="R118" s="48" t="inlineStr">
        <is>
          <t>S</t>
        </is>
      </c>
      <c r="S118" s="42" t="inlineStr">
        <is>
          <t>A11Y-013</t>
        </is>
      </c>
      <c r="T118" s="42" t="str"/>
      <c r="U118" s="48" t="inlineStr">
        <is>
          <t>Done</t>
        </is>
      </c>
      <c r="V118" s="48" t="n">
        <v>100</v>
      </c>
      <c r="W118" s="42" t="str"/>
      <c r="X118" s="110" t="n"/>
      <c r="Y118" s="42" t="inlineStr">
        <is>
          <t>Reconciliation scope correction</t>
        </is>
      </c>
      <c r="Z118" s="42" t="inlineStr">
        <is>
          <t>Implemented 2026-08-22: ADR 0001: dark-only; forced-colors still required</t>
        </is>
      </c>
    </row>
    <row r="119" ht="62" customHeight="1">
      <c r="A119" s="42" t="inlineStr">
        <is>
          <t>SEQ-PLAY-016</t>
        </is>
      </c>
      <c r="B119" s="42" t="inlineStr">
        <is>
          <t>SEQ-PLAY-016</t>
        </is>
      </c>
      <c r="C119" s="42" t="inlineStr">
        <is>
          <t>Sequence / Time Display</t>
        </is>
      </c>
      <c r="D119" s="48" t="inlineStr">
        <is>
          <t>P3</t>
        </is>
      </c>
      <c r="E119" s="48" t="inlineStr">
        <is>
          <t>No</t>
        </is>
      </c>
      <c r="F119" s="48" t="inlineStr">
        <is>
          <t>UX / Product Decision</t>
        </is>
      </c>
      <c r="G119" s="48" t="inlineStr">
        <is>
          <t>Information-design gap</t>
        </is>
      </c>
      <c r="H119" s="48" t="inlineStr">
        <is>
          <t>Yes</t>
        </is>
      </c>
      <c r="I119" s="48" t="inlineStr">
        <is>
          <t>Yes</t>
        </is>
      </c>
      <c r="J119" s="42" t="inlineStr">
        <is>
          <t>Consolidate time display options and define a constant-timeline-FPS policy for VFR sources, including normalization/proxy behavior</t>
        </is>
      </c>
      <c r="K119" s="42" t="inlineStr">
        <is>
          <t>The interface does not offer a consolidated current/total/remaining time display or an explicit policy for variable-frame-rate media. Reviewers must infer duration from separate regions, and VFR sources can undermine frame-based expectations.</t>
        </is>
      </c>
      <c r="L119" s="42" t="inlineStr">
        <is>
          <t>Consolidate time display options and define a constant-timeline-FPS policy for VFR sources, including normalization/proxy behavior.</t>
        </is>
      </c>
      <c r="M119" s="42" t="inlineStr">
        <is>
          <t>Current, total, and optional remaining values remain consistent after seeks, trims, and source replacement; VFR handling is documented.</t>
        </is>
      </c>
      <c r="N119" s="42" t="inlineStr">
        <is>
          <t>Sequence header and program transport time displays</t>
        </is>
      </c>
      <c r="O119" s="42" t="inlineStr">
        <is>
          <t>https://github.com/tj1784/Premiere316_AI_Director_Prototype_v2.0.0/commit/17234f7bcc9687d12afa23fbb88c6eff5be7e2a9</t>
        </is>
      </c>
      <c r="P119" s="42" t="inlineStr">
        <is>
          <t>Product + Media Engine</t>
        </is>
      </c>
      <c r="Q119" s="42" t="inlineStr">
        <is>
          <t>Future — Product decisions</t>
        </is>
      </c>
      <c r="R119" s="48" t="inlineStr">
        <is>
          <t>M</t>
        </is>
      </c>
      <c r="S119" s="42" t="str"/>
      <c r="T119" s="42" t="inlineStr">
        <is>
          <t>UAT-PLAY-021</t>
        </is>
      </c>
      <c r="U119" s="48" t="inlineStr">
        <is>
          <t>Not Started</t>
        </is>
      </c>
      <c r="V119" s="48" t="n">
        <v>0</v>
      </c>
      <c r="W119" s="42" t="str"/>
      <c r="X119" s="110" t="n"/>
      <c r="Y119" s="42" t="inlineStr">
        <is>
          <t>User QA plan</t>
        </is>
      </c>
      <c r="Z119" s="42" t="str"/>
    </row>
    <row r="120" ht="62" customHeight="1">
      <c r="A120" s="42" t="inlineStr">
        <is>
          <t>SEQ-MARK-001</t>
        </is>
      </c>
      <c r="B120" s="42" t="inlineStr">
        <is>
          <t>SEQ-MARK-001</t>
        </is>
      </c>
      <c r="C120" s="42" t="inlineStr">
        <is>
          <t>Sequence / Timeline</t>
        </is>
      </c>
      <c r="D120" s="48" t="inlineStr">
        <is>
          <t>P3</t>
        </is>
      </c>
      <c r="E120" s="48" t="inlineStr">
        <is>
          <t>No</t>
        </is>
      </c>
      <c r="F120" s="48" t="inlineStr">
        <is>
          <t>Enhancement / UX Redesign</t>
        </is>
      </c>
      <c r="G120" s="48" t="inlineStr">
        <is>
          <t>Future editing capability</t>
        </is>
      </c>
      <c r="H120" s="48" t="inlineStr">
        <is>
          <t>Yes</t>
        </is>
      </c>
      <c r="I120" s="48" t="inlineStr">
        <is>
          <t>Yes</t>
        </is>
      </c>
      <c r="J120" s="42" t="inlineStr">
        <is>
          <t>Define marker types and add them through a context menu or compact advanced-tools container rather than permanent toolbar chrome</t>
        </is>
      </c>
      <c r="K120" s="42" t="inlineStr">
        <is>
          <t>The sequence editor has no marker, chapter marker, or persistent review-note timeline model. Review feedback and repeated navigation must be managed outside the editor.</t>
        </is>
      </c>
      <c r="L120" s="42" t="inlineStr">
        <is>
          <t>Define marker types and add them through a context menu or compact advanced-tools container rather than permanent toolbar chrome.</t>
        </is>
      </c>
      <c r="M120" s="42" t="inlineStr">
        <is>
          <t>Markers can be created, renamed, moved, searched, deleted, undone, and navigated by keyboard without obscuring the main playback surface.</t>
        </is>
      </c>
      <c r="N120" s="42" t="inlineStr">
        <is>
          <t>Sequence timeline feature set</t>
        </is>
      </c>
      <c r="O120" s="42" t="inlineStr">
        <is>
          <t>https://github.com/tj1784/Premiere316_AI_Director_Prototype_v2.0.0/commit/17234f7bcc9687d12afa23fbb88c6eff5be7e2a9</t>
        </is>
      </c>
      <c r="P120" s="42" t="inlineStr">
        <is>
          <t>Product + Frontend</t>
        </is>
      </c>
      <c r="Q120" s="42" t="inlineStr">
        <is>
          <t>Future — Product decisions</t>
        </is>
      </c>
      <c r="R120" s="48" t="inlineStr">
        <is>
          <t>L</t>
        </is>
      </c>
      <c r="S120" s="42" t="str"/>
      <c r="T120" s="42" t="inlineStr">
        <is>
          <t>UAT-PLAY-020</t>
        </is>
      </c>
      <c r="U120" s="48" t="inlineStr">
        <is>
          <t>Not Started</t>
        </is>
      </c>
      <c r="V120" s="48" t="n">
        <v>0</v>
      </c>
      <c r="W120" s="42" t="str"/>
      <c r="X120" s="110" t="n"/>
      <c r="Y120" s="42" t="inlineStr">
        <is>
          <t>User QA plan</t>
        </is>
      </c>
      <c r="Z120" s="42" t="str"/>
    </row>
    <row r="121" ht="62" customHeight="1">
      <c r="A121" s="42" t="inlineStr">
        <is>
          <t>SEQ-PLAY-013</t>
        </is>
      </c>
      <c r="B121" s="42" t="inlineStr">
        <is>
          <t>SEQ-PLAY-013</t>
        </is>
      </c>
      <c r="C121" s="42" t="inlineStr">
        <is>
          <t>Sequence / Transport</t>
        </is>
      </c>
      <c r="D121" s="48" t="inlineStr">
        <is>
          <t>P3</t>
        </is>
      </c>
      <c r="E121" s="48" t="inlineStr">
        <is>
          <t>No</t>
        </is>
      </c>
      <c r="F121" s="48" t="inlineStr">
        <is>
          <t>Product Decision / Enhancement</t>
        </is>
      </c>
      <c r="G121" s="48" t="inlineStr">
        <is>
          <t>Product/interaction gap</t>
        </is>
      </c>
      <c r="H121" s="48" t="inlineStr">
        <is>
          <t>Yes</t>
        </is>
      </c>
      <c r="I121" s="48" t="inlineStr">
        <is>
          <t>Yes</t>
        </is>
      </c>
      <c r="J121" s="42" t="inlineStr">
        <is>
          <t>Define transport semantics and expose accessible labeled Stop/Restart behavior only if it materially differs from Pause/Go to start</t>
        </is>
      </c>
      <c r="K121" s="42" t="inlineStr">
        <is>
          <t>Transport semantics are limited to play/pause, jump-to-start, and frame-step; there is no explicit Stop state or clearly labeled Restart command. Users coming from editing tools may not know whether pause preserves position, whether the start icon restarts, or how to stop all audition audio.</t>
        </is>
      </c>
      <c r="L121" s="42" t="inlineStr">
        <is>
          <t>Define transport semantics and expose accessible labeled Stop/Restart behavior only if it materially differs from Pause/Go to start.</t>
        </is>
      </c>
      <c r="M121" s="42" t="inlineStr">
        <is>
          <t>The transport model is documented, labels match behavior, all media stops deterministically, and no redundant control is added without purpose.</t>
        </is>
      </c>
      <c r="N121" s="42" t="inlineStr">
        <is>
          <t>Sequence program transport UI</t>
        </is>
      </c>
      <c r="O121" s="42" t="inlineStr">
        <is>
          <t>https://github.com/tj1784/Premiere316_AI_Director_Prototype_v2.0.0/commit/17234f7bcc9687d12afa23fbb88c6eff5be7e2a9</t>
        </is>
      </c>
      <c r="P121" s="42" t="inlineStr">
        <is>
          <t>Product + UX</t>
        </is>
      </c>
      <c r="Q121" s="42" t="inlineStr">
        <is>
          <t>Future — Product decisions</t>
        </is>
      </c>
      <c r="R121" s="48" t="inlineStr">
        <is>
          <t>S</t>
        </is>
      </c>
      <c r="S121" s="42" t="str"/>
      <c r="T121" s="42" t="inlineStr">
        <is>
          <t>UAT-PLAY-016</t>
        </is>
      </c>
      <c r="U121" s="48" t="inlineStr">
        <is>
          <t>Not Started</t>
        </is>
      </c>
      <c r="V121" s="48" t="n">
        <v>0</v>
      </c>
      <c r="W121" s="42" t="str"/>
      <c r="X121" s="110" t="n"/>
      <c r="Y121" s="42" t="inlineStr">
        <is>
          <t>User QA plan</t>
        </is>
      </c>
      <c r="Z121" s="42" t="str"/>
    </row>
    <row r="122" ht="62" customHeight="1">
      <c r="A122" s="42" t="inlineStr">
        <is>
          <t>SEQ-PLAY-014</t>
        </is>
      </c>
      <c r="B122" s="42" t="inlineStr">
        <is>
          <t>SEQ-PLAY-014</t>
        </is>
      </c>
      <c r="C122" s="42" t="inlineStr">
        <is>
          <t>Sequence / Transport</t>
        </is>
      </c>
      <c r="D122" s="48" t="inlineStr">
        <is>
          <t>P3</t>
        </is>
      </c>
      <c r="E122" s="48" t="inlineStr">
        <is>
          <t>No</t>
        </is>
      </c>
      <c r="F122" s="48" t="inlineStr">
        <is>
          <t>Enhancement / Product Decision</t>
        </is>
      </c>
      <c r="G122" s="48" t="inlineStr">
        <is>
          <t>Future capability</t>
        </is>
      </c>
      <c r="H122" s="48" t="inlineStr">
        <is>
          <t>Yes</t>
        </is>
      </c>
      <c r="I122" s="48" t="inlineStr">
        <is>
          <t>Yes</t>
        </is>
      </c>
      <c r="J122" s="42" t="inlineStr">
        <is>
          <t>Decide whether editorial preview supports 0</t>
        </is>
      </c>
      <c r="K122" s="42" t="inlineStr">
        <is>
          <t>There is no playback-speed control or documented decision to remain fixed at 1×. Power users cannot review timing at slow or accelerated rates, but adding speed without pitch/sync policy could create misleading review.</t>
        </is>
      </c>
      <c r="L122" s="42" t="inlineStr">
        <is>
          <t>Decide whether editorial preview supports 0.25×–2×, then implement with pitch policy, keyboard shortcuts, clear state, and persistence.</t>
        </is>
      </c>
      <c r="M122" s="42" t="inlineStr">
        <is>
          <t>Supported speeds keep audio/picture synchronized and the chosen rate is always visible; unsupported rates are absent rather than implied.</t>
        </is>
      </c>
      <c r="N122" s="42" t="inlineStr">
        <is>
          <t>Sequence transport capability set</t>
        </is>
      </c>
      <c r="O122" s="42" t="inlineStr">
        <is>
          <t>https://github.com/tj1784/Premiere316_AI_Director_Prototype_v2.0.0/commit/17234f7bcc9687d12afa23fbb88c6eff5be7e2a9</t>
        </is>
      </c>
      <c r="P122" s="42" t="inlineStr">
        <is>
          <t>Product + Media Engine</t>
        </is>
      </c>
      <c r="Q122" s="42" t="inlineStr">
        <is>
          <t>Future — Product decisions</t>
        </is>
      </c>
      <c r="R122" s="48" t="inlineStr">
        <is>
          <t>L</t>
        </is>
      </c>
      <c r="S122" s="42" t="str"/>
      <c r="T122" s="42" t="inlineStr">
        <is>
          <t>UAT-PLAY-017</t>
        </is>
      </c>
      <c r="U122" s="48" t="inlineStr">
        <is>
          <t>Not Started</t>
        </is>
      </c>
      <c r="V122" s="48" t="n">
        <v>0</v>
      </c>
      <c r="W122" s="42" t="str"/>
      <c r="X122" s="110" t="n"/>
      <c r="Y122" s="42" t="inlineStr">
        <is>
          <t>User QA plan</t>
        </is>
      </c>
      <c r="Z122" s="42" t="str"/>
    </row>
  </sheetData>
  <mergeCells count="2">
    <mergeCell ref="A1:Z1"/>
    <mergeCell ref="A2:Z2"/>
  </mergeCells>
  <conditionalFormatting sqref="D5:D122">
    <cfRule type="expression" priority="1" dxfId="0">
      <formula>D5="P1"</formula>
    </cfRule>
    <cfRule type="expression" priority="2" dxfId="1">
      <formula>D5="P2"</formula>
    </cfRule>
    <cfRule type="expression" priority="3" dxfId="2">
      <formula>D5="P3"</formula>
    </cfRule>
  </conditionalFormatting>
  <conditionalFormatting sqref="E5:E122">
    <cfRule type="expression" priority="4" dxfId="0">
      <formula>E5="Yes"</formula>
    </cfRule>
    <cfRule type="expression" priority="5" dxfId="4">
      <formula>E5="Conditional"</formula>
    </cfRule>
    <cfRule type="expression" priority="6" dxfId="5">
      <formula>E5="No"</formula>
    </cfRule>
  </conditionalFormatting>
  <conditionalFormatting sqref="I5:I122">
    <cfRule type="expression" priority="7" dxfId="6">
      <formula>I5="Yes"</formula>
    </cfRule>
  </conditionalFormatting>
  <conditionalFormatting sqref="U5:U122">
    <cfRule type="expression" priority="8" dxfId="5">
      <formula>U5="Not Started"</formula>
    </cfRule>
    <cfRule type="expression" priority="9" dxfId="2">
      <formula>U5="In Progress"</formula>
    </cfRule>
    <cfRule type="expression" priority="10" dxfId="0">
      <formula>U5="Blocked"</formula>
    </cfRule>
    <cfRule type="expression" priority="11" dxfId="6">
      <formula>U5="Ready for QA"</formula>
    </cfRule>
    <cfRule type="expression" priority="12" dxfId="11">
      <formula>U5="Done"</formula>
    </cfRule>
  </conditionalFormatting>
  <conditionalFormatting sqref="V5:V122">
    <cfRule type="dataBar" priority="13">
      <dataBar>
        <cfvo type="min"/>
        <cfvo type="max"/>
        <color rgb="FF7656DD"/>
      </dataBar>
    </cfRule>
  </conditionalFormatting>
  <dataValidations count="6">
    <dataValidation sqref="D5:D122" showDropDown="0" showInputMessage="0" showErrorMessage="0" allowBlank="0" type="list">
      <formula1>"P1,P2,P3"</formula1>
    </dataValidation>
    <dataValidation sqref="E5:E122" showDropDown="0" showInputMessage="0" showErrorMessage="0" allowBlank="0" type="list">
      <formula1>"Yes,Conditional,No"</formula1>
    </dataValidation>
    <dataValidation sqref="H5:H122" showDropDown="0" showInputMessage="0" showErrorMessage="0" allowBlank="0" type="list">
      <formula1>"Yes,Decision,Future if approved,Design target,Current / decision-dependent"</formula1>
    </dataValidation>
    <dataValidation sqref="Q5:Q122" showDropDown="0" showInputMessage="0" showErrorMessage="0" allowBlank="0" type="list">
      <formula1>"G1 — State truth &amp; silent loss,G2 — Playback/import architecture,G3 — Workflow efficiency &amp; declutter,G4 — Accessibility &amp; release gates,Future — Product decisions"</formula1>
    </dataValidation>
    <dataValidation sqref="R5:R122" showDropDown="0" showInputMessage="0" showErrorMessage="0" allowBlank="0" type="list">
      <formula1>"S,M,L,XL"</formula1>
    </dataValidation>
    <dataValidation sqref="U5:U122" showDropDown="0" showInputMessage="0" showErrorMessage="0" allowBlank="0" type="list">
      <formula1>"Not Started,In Progress,Blocked,Ready for QA,Done,Deferred,Not Applicable"</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48"/>
  <sheetViews>
    <sheetView workbookViewId="0">
      <selection activeCell="A1" sqref="A1"/>
    </sheetView>
  </sheetViews>
  <sheetFormatPr baseColWidth="8" defaultRowHeight="15"/>
  <cols>
    <col width="16" customWidth="1" min="1" max="1"/>
    <col width="9" customWidth="1" min="2" max="2"/>
    <col width="28" customWidth="1" min="3" max="3"/>
    <col width="24" customWidth="1" min="4" max="4"/>
    <col width="48" customWidth="1" min="5" max="5"/>
    <col width="45" customWidth="1" min="6" max="6"/>
    <col width="50" customWidth="1" min="7" max="7"/>
    <col width="48" customWidth="1" min="8" max="8"/>
    <col width="24" customWidth="1" min="9" max="9"/>
    <col width="18" customWidth="1" min="10" max="10"/>
    <col width="22" customWidth="1" min="11" max="11"/>
    <col width="13" customWidth="1" min="12" max="12"/>
    <col width="22" customWidth="1" min="13" max="13"/>
    <col width="26" customWidth="1" min="14" max="14"/>
    <col width="25" customWidth="1" min="15" max="15"/>
    <col width="28" customWidth="1" min="16" max="16"/>
  </cols>
  <sheetData>
    <row r="1" ht="30" customHeight="1">
      <c r="A1" s="23" t="inlineStr">
        <is>
          <t>Missing Items Added During Reconciliation</t>
        </is>
      </c>
      <c r="B1" s="1" t="n"/>
      <c r="C1" s="1" t="n"/>
      <c r="D1" s="1" t="n"/>
      <c r="E1" s="1" t="n"/>
      <c r="F1" s="1" t="n"/>
      <c r="G1" s="1" t="n"/>
      <c r="H1" s="1" t="n"/>
      <c r="I1" s="1" t="n"/>
      <c r="J1" s="1" t="n"/>
      <c r="K1" s="1" t="n"/>
      <c r="L1" s="1" t="n"/>
      <c r="M1" s="1" t="n"/>
      <c r="N1" s="1" t="n"/>
      <c r="O1" s="1" t="n"/>
      <c r="P1" s="1" t="n"/>
    </row>
    <row r="2" ht="28" customHeight="1">
      <c r="A2" s="31" t="inlineStr">
        <is>
          <t>These 44 rows were not explicit in the original 74-item register. They include one new P1 source defect, additional current risks, exhaustive-plan requirements, decluttering work, and scope decisions.</t>
        </is>
      </c>
      <c r="B2" s="1" t="n"/>
      <c r="C2" s="1" t="n"/>
      <c r="D2" s="1" t="n"/>
      <c r="E2" s="1" t="n"/>
      <c r="F2" s="1" t="n"/>
      <c r="G2" s="1" t="n"/>
      <c r="H2" s="1" t="n"/>
      <c r="I2" s="1" t="n"/>
      <c r="J2" s="1" t="n"/>
      <c r="K2" s="1" t="n"/>
      <c r="L2" s="1" t="n"/>
      <c r="M2" s="1" t="n"/>
      <c r="N2" s="1" t="n"/>
      <c r="O2" s="1" t="n"/>
      <c r="P2" s="1" t="n"/>
    </row>
    <row r="4" ht="34" customHeight="1">
      <c r="A4" s="35" t="inlineStr">
        <is>
          <t>ID</t>
        </is>
      </c>
      <c r="B4" s="35" t="inlineStr">
        <is>
          <t>Priority</t>
        </is>
      </c>
      <c r="C4" s="35" t="inlineStr">
        <is>
          <t>Surface</t>
        </is>
      </c>
      <c r="D4" s="35" t="inlineStr">
        <is>
          <t>Classification</t>
        </is>
      </c>
      <c r="E4" s="35" t="inlineStr">
        <is>
          <t>Finding</t>
        </is>
      </c>
      <c r="F4" s="35" t="inlineStr">
        <is>
          <t>Impact</t>
        </is>
      </c>
      <c r="G4" s="35" t="inlineStr">
        <is>
          <t>Required Fix</t>
        </is>
      </c>
      <c r="H4" s="35" t="inlineStr">
        <is>
          <t>Acceptance</t>
        </is>
      </c>
      <c r="I4" s="35" t="inlineStr">
        <is>
          <t>Origin</t>
        </is>
      </c>
      <c r="J4" s="35" t="inlineStr">
        <is>
          <t>Applies</t>
        </is>
      </c>
      <c r="K4" s="35" t="inlineStr">
        <is>
          <t>Task Type</t>
        </is>
      </c>
      <c r="L4" s="35" t="inlineStr">
        <is>
          <t>Release Gate</t>
        </is>
      </c>
      <c r="M4" s="35" t="inlineStr">
        <is>
          <t>Owner</t>
        </is>
      </c>
      <c r="N4" s="35" t="inlineStr">
        <is>
          <t>Phase</t>
        </is>
      </c>
      <c r="O4" s="35" t="inlineStr">
        <is>
          <t>Dependencies</t>
        </is>
      </c>
      <c r="P4" s="35" t="inlineStr">
        <is>
          <t>Mapped UAT</t>
        </is>
      </c>
    </row>
    <row r="5" ht="68" customHeight="1">
      <c r="A5" s="42" t="inlineStr">
        <is>
          <t>IMP-018</t>
        </is>
      </c>
      <c r="B5" s="42" t="inlineStr">
        <is>
          <t>P1</t>
        </is>
      </c>
      <c r="C5" s="42" t="inlineStr">
        <is>
          <t>Sequence / Folder Drop</t>
        </is>
      </c>
      <c r="D5" s="42" t="inlineStr">
        <is>
          <t>Confirmed code defect</t>
        </is>
      </c>
      <c r="E5" s="42" t="inlineStr">
        <is>
          <t>Folder traversal is launched with a promise chain that has no top-level catch or user-facing failure path.</t>
        </is>
      </c>
      <c r="F5" s="42" t="inlineStr">
        <is>
          <t>A permission/traversal error can become an unhandled rejection and leave the drop operation with no result or recovery.</t>
        </is>
      </c>
      <c r="G5" s="42" t="inlineStr">
        <is>
          <t>Wrap traversal and import in one try/catch/finally operation, preserve the busy state from scan start, and return a structured traversal failure summary.</t>
        </is>
      </c>
      <c r="H5" s="42" t="inlineStr">
        <is>
          <t>A forced directory-reader rejection produces a visible failed import job with exact reason and Retry/Choose folder actions; no unhandled rejection appears.</t>
        </is>
      </c>
      <c r="I5" s="42" t="inlineStr">
        <is>
          <t>Reconciliation source review</t>
        </is>
      </c>
      <c r="J5" s="42" t="inlineStr">
        <is>
          <t>Yes</t>
        </is>
      </c>
      <c r="K5" s="42" t="inlineStr">
        <is>
          <t>Defect</t>
        </is>
      </c>
      <c r="L5" s="42" t="inlineStr">
        <is>
          <t>Yes</t>
        </is>
      </c>
      <c r="M5" s="42" t="inlineStr">
        <is>
          <t>Frontend</t>
        </is>
      </c>
      <c r="N5" s="42" t="inlineStr">
        <is>
          <t>G1 — State truth &amp; silent loss</t>
        </is>
      </c>
      <c r="O5" s="42" t="inlineStr">
        <is>
          <t>IMP-001</t>
        </is>
      </c>
      <c r="P5" s="42" t="inlineStr">
        <is>
          <t>UAT-DROP-022</t>
        </is>
      </c>
    </row>
    <row r="6" ht="68" customHeight="1">
      <c r="A6" s="42" t="inlineStr">
        <is>
          <t>A11Y-013</t>
        </is>
      </c>
      <c r="B6" s="42" t="inlineStr">
        <is>
          <t>P2</t>
        </is>
      </c>
      <c r="C6" s="42" t="inlineStr">
        <is>
          <t>Accessibility / Forced Colors</t>
        </is>
      </c>
      <c r="D6" s="42" t="inlineStr">
        <is>
          <t>Missing execution evidence</t>
        </is>
      </c>
      <c r="E6" s="42" t="inlineStr">
        <is>
          <t>High-contrast and forced-colors behavior is not explicitly validated for active take, selected clip, mute, lock, error, loaded workflow, and drop-target states.</t>
        </is>
      </c>
      <c r="F6" s="42" t="inlineStr">
        <is>
          <t>Color-heavy dense states can collapse into indistinguishable controls.</t>
        </is>
      </c>
      <c r="G6" s="42" t="inlineStr">
        <is>
          <t>Add forced-colors-safe borders/text/icons and validate that state never relies on color alone.</t>
        </is>
      </c>
      <c r="H6" s="42" t="inlineStr">
        <is>
          <t>Every critical state remains distinct in Windows High Contrast/forced-colors with visible focus and readable labels.</t>
        </is>
      </c>
      <c r="I6" s="42" t="inlineStr">
        <is>
          <t>User QA plan</t>
        </is>
      </c>
      <c r="J6" s="42" t="inlineStr">
        <is>
          <t>Yes</t>
        </is>
      </c>
      <c r="K6" s="42" t="inlineStr">
        <is>
          <t>Accessibility</t>
        </is>
      </c>
      <c r="L6" s="42" t="inlineStr">
        <is>
          <t>Conditional</t>
        </is>
      </c>
      <c r="M6" s="42" t="inlineStr">
        <is>
          <t>Frontend + Accessibility QA</t>
        </is>
      </c>
      <c r="N6" s="42" t="inlineStr">
        <is>
          <t>G4 — Accessibility &amp; release gates</t>
        </is>
      </c>
      <c r="O6" s="42" t="str"/>
      <c r="P6" s="42" t="inlineStr">
        <is>
          <t>UAT-A11Y-008</t>
        </is>
      </c>
    </row>
    <row r="7" ht="68" customHeight="1">
      <c r="A7" s="42" t="inlineStr">
        <is>
          <t>A11Y-011</t>
        </is>
      </c>
      <c r="B7" s="42" t="inlineStr">
        <is>
          <t>P2</t>
        </is>
      </c>
      <c r="C7" s="42" t="inlineStr">
        <is>
          <t>Accessibility / Zoom and Reflow</t>
        </is>
      </c>
      <c r="D7" s="42" t="inlineStr">
        <is>
          <t>Missing WCAG execution evidence</t>
        </is>
      </c>
      <c r="E7" s="42" t="inlineStr">
        <is>
          <t>The prior matrix stops at common Windows scaling and does not explicitly require 400% browser zoom/reflow.</t>
        </is>
      </c>
      <c r="F7" s="42" t="inlineStr">
        <is>
          <t>Tiny text, fixed minima, and nested scroll regions can become unusable at high magnification.</t>
        </is>
      </c>
      <c r="G7" s="42" t="inlineStr">
        <is>
          <t>Add 200% and 400% zoom/reflow cases, eliminate clipped essential controls, and provide a compact/stacked editor mode where necessary.</t>
        </is>
      </c>
      <c r="H7" s="42" t="inlineStr">
        <is>
          <t>At 400% zoom, core tasks remain reachable without two-dimensional page scrolling beyond intrinsically spatial timeline content.</t>
        </is>
      </c>
      <c r="I7" s="42" t="inlineStr">
        <is>
          <t>User QA plan</t>
        </is>
      </c>
      <c r="J7" s="42" t="inlineStr">
        <is>
          <t>Yes</t>
        </is>
      </c>
      <c r="K7" s="42" t="inlineStr">
        <is>
          <t>Accessibility</t>
        </is>
      </c>
      <c r="L7" s="42" t="inlineStr">
        <is>
          <t>Conditional</t>
        </is>
      </c>
      <c r="M7" s="42" t="inlineStr">
        <is>
          <t>Frontend + Accessibility QA</t>
        </is>
      </c>
      <c r="N7" s="42" t="inlineStr">
        <is>
          <t>G4 — Accessibility &amp; release gates</t>
        </is>
      </c>
      <c r="O7" s="42" t="str"/>
      <c r="P7" s="42" t="inlineStr">
        <is>
          <t>UAT-A11Y-006</t>
        </is>
      </c>
    </row>
    <row r="8" ht="68" customHeight="1">
      <c r="A8" s="42" t="inlineStr">
        <is>
          <t>COMFY-021</t>
        </is>
      </c>
      <c r="B8" s="42" t="inlineStr">
        <is>
          <t>P2</t>
        </is>
      </c>
      <c r="C8" s="42" t="inlineStr">
        <is>
          <t>Comfy Picker / Accessibility</t>
        </is>
      </c>
      <c r="D8" s="42" t="inlineStr">
        <is>
          <t>Confirmed state-semantics gap</t>
        </is>
      </c>
      <c r="E8" s="42" t="inlineStr">
        <is>
          <t>Selected, loading, loaded, dirty, failed, and queued workflow states are not exposed as a coherent programmatic state model.</t>
        </is>
      </c>
      <c r="F8" s="42" t="inlineStr">
        <is>
          <t>Screen-reader and keyboard users cannot verify whether the visible selection matches the active canvas or whether an operation completed.</t>
        </is>
      </c>
      <c r="G8" s="42" t="inlineStr">
        <is>
          <t>Expose labeled state, aria-describedby relationships, scoped live announcements, and keyboard-safe retry/reload actions backed by the bridge state machine.</t>
        </is>
      </c>
      <c r="H8" s="42" t="inlineStr">
        <is>
          <t>Assistive technology announces 'selected X', 'loading X', 'loaded X', dirty state, and failure/recovery without duplicate or overwritten announcements.</t>
        </is>
      </c>
      <c r="I8" s="42" t="inlineStr">
        <is>
          <t>User QA plan</t>
        </is>
      </c>
      <c r="J8" s="42" t="inlineStr">
        <is>
          <t>Yes</t>
        </is>
      </c>
      <c r="K8" s="42" t="inlineStr">
        <is>
          <t>Accessibility</t>
        </is>
      </c>
      <c r="L8" s="42" t="inlineStr">
        <is>
          <t>Conditional</t>
        </is>
      </c>
      <c r="M8" s="42" t="inlineStr">
        <is>
          <t>Frontend + Accessibility QA</t>
        </is>
      </c>
      <c r="N8" s="42" t="inlineStr">
        <is>
          <t>G4 — Accessibility &amp; release gates</t>
        </is>
      </c>
      <c r="O8" s="42" t="inlineStr">
        <is>
          <t>COMFY-001,COMFY-002</t>
        </is>
      </c>
      <c r="P8" s="42" t="inlineStr">
        <is>
          <t>UAT-COMFY-025</t>
        </is>
      </c>
    </row>
    <row r="9" ht="68" customHeight="1">
      <c r="A9" s="42" t="inlineStr">
        <is>
          <t>COMFY-022</t>
        </is>
      </c>
      <c r="B9" s="42" t="inlineStr">
        <is>
          <t>P2</t>
        </is>
      </c>
      <c r="C9" s="42" t="inlineStr">
        <is>
          <t>Comfy Picker / Information Architecture</t>
        </is>
      </c>
      <c r="D9" s="42" t="inlineStr">
        <is>
          <t>Missing details surface</t>
        </is>
      </c>
      <c r="E9" s="42" t="inlineStr">
        <is>
          <t>The picker lacks a dedicated details view for source, canonical ID, path, hash/version, readiness, required nodes/models, modified time, and compatibility.</t>
        </is>
      </c>
      <c r="F9" s="42" t="inlineStr">
        <is>
          <t>Users cannot confidently distinguish similar workflows or diagnose why one cannot run.</t>
        </is>
      </c>
      <c r="G9" s="42" t="inlineStr">
        <is>
          <t>Add a right-side workflow details drawer and keep the permanent toolbar limited to selection, verified loaded state, and the primary action.</t>
        </is>
      </c>
      <c r="H9" s="42" t="inlineStr">
        <is>
          <t>Selecting a workflow reveals complete provenance and dependency diagnostics without crowding the main canvas; drawer focus/dismiss behavior passes accessibility checks.</t>
        </is>
      </c>
      <c r="I9" s="42" t="inlineStr">
        <is>
          <t>User QA plan</t>
        </is>
      </c>
      <c r="J9" s="42" t="inlineStr">
        <is>
          <t>Yes</t>
        </is>
      </c>
      <c r="K9" s="42" t="inlineStr">
        <is>
          <t>UX Redesign</t>
        </is>
      </c>
      <c r="L9" s="42" t="inlineStr">
        <is>
          <t>Conditional</t>
        </is>
      </c>
      <c r="M9" s="42" t="inlineStr">
        <is>
          <t>Product/UX + Frontend</t>
        </is>
      </c>
      <c r="N9" s="42" t="inlineStr">
        <is>
          <t>G3 — Workflow efficiency &amp; declutter</t>
        </is>
      </c>
      <c r="O9" s="42" t="inlineStr">
        <is>
          <t>COMFY-020,UX-DECLUTTER-003</t>
        </is>
      </c>
      <c r="P9" s="42" t="inlineStr">
        <is>
          <t>UAT-COMFY-026</t>
        </is>
      </c>
    </row>
    <row r="10" ht="68" customHeight="1">
      <c r="A10" s="42" t="inlineStr">
        <is>
          <t>UX-DECLUTTER-003</t>
        </is>
      </c>
      <c r="B10" s="42" t="inlineStr">
        <is>
          <t>P2</t>
        </is>
      </c>
      <c r="C10" s="42" t="inlineStr">
        <is>
          <t>Comfy Picker / Information Architecture</t>
        </is>
      </c>
      <c r="D10" s="42" t="inlineStr">
        <is>
          <t>UX redesign target with scope correction</t>
        </is>
      </c>
      <c r="E10" s="42" t="inlineStr">
        <is>
          <t>The user proposal describes a thumbnail asset gallery, but the current `17234f7` control is a workflow picker. Treating gallery requirements as current defects would mis-scope the release.</t>
        </is>
      </c>
      <c r="F10" s="42" t="inlineStr">
        <is>
          <t>Without a clarified model, the team could build an expensive asset browser where a scalable workflow command picker is actually needed.</t>
        </is>
      </c>
      <c r="G10" s="42" t="inlineStr">
        <is>
          <t>For the current workflow picker, use a searchable grouped command/list surface with one verified loaded state, one primary action, filters in a popover, and provenance/dependencies in a right drawer. Create a separate product epic if a thumbnail asset gallery is desired.</t>
        </is>
      </c>
      <c r="H10" s="42" t="inlineStr">
        <is>
          <t>The current picker scales and remains quiet without pretending to be an asset gallery; any gallery initiative has a separate approved scope and data contract.</t>
        </is>
      </c>
      <c r="I10" s="42" t="inlineStr">
        <is>
          <t>Decluttering pass</t>
        </is>
      </c>
      <c r="J10" s="42" t="inlineStr">
        <is>
          <t>Yes</t>
        </is>
      </c>
      <c r="K10" s="42" t="inlineStr">
        <is>
          <t>UX Redesign / Product Decision</t>
        </is>
      </c>
      <c r="L10" s="42" t="inlineStr">
        <is>
          <t>Conditional</t>
        </is>
      </c>
      <c r="M10" s="42" t="inlineStr">
        <is>
          <t>Product/UX + Comfy Integration</t>
        </is>
      </c>
      <c r="N10" s="42" t="inlineStr">
        <is>
          <t>G3 — Workflow efficiency &amp; declutter</t>
        </is>
      </c>
      <c r="O10" s="42" t="inlineStr">
        <is>
          <t>SCOPE-003,COMFY-007,COMFY-022,UX-CONTAINER-001</t>
        </is>
      </c>
      <c r="P10" s="42" t="inlineStr">
        <is>
          <t>UAT-UX-003</t>
        </is>
      </c>
    </row>
    <row r="11" ht="68" customHeight="1">
      <c r="A11" s="42" t="inlineStr">
        <is>
          <t>UX-DECLUTTER-002</t>
        </is>
      </c>
      <c r="B11" s="42" t="inlineStr">
        <is>
          <t>P2</t>
        </is>
      </c>
      <c r="C11" s="42" t="inlineStr">
        <is>
          <t>Folder Drop / Information Architecture</t>
        </is>
      </c>
      <c r="D11" s="42" t="inlineStr">
        <is>
          <t>UX redesign target</t>
        </is>
      </c>
      <c r="E11" s="42" t="inlineStr">
        <is>
          <t>Import configuration, progress, and result information need clear homes without permanently crowding the drop target.</t>
        </is>
      </c>
      <c r="F11" s="42" t="inlineStr">
        <is>
          <t>A clean drop surface can become ambiguous if secondary controls are simply removed rather than progressively disclosed.</t>
        </is>
      </c>
      <c r="G11" s="42" t="inlineStr">
        <is>
          <t>Keep a minimal drop target; move import options to a gear popover/drawer, progress/cancel to a non-blocking bottom sheet or floating job card, and complete/partial results to an expandable summary with View imported and Retry failed.</t>
        </is>
      </c>
      <c r="H11" s="42" t="inlineStr">
        <is>
          <t>Idle, valid, invalid, scanning, importing, partial, complete, cancelled, and failed states are distinct while the main editor remains usable.</t>
        </is>
      </c>
      <c r="I11" s="42" t="inlineStr">
        <is>
          <t>Decluttering pass</t>
        </is>
      </c>
      <c r="J11" s="42" t="inlineStr">
        <is>
          <t>Yes</t>
        </is>
      </c>
      <c r="K11" s="42" t="inlineStr">
        <is>
          <t>UX Redesign</t>
        </is>
      </c>
      <c r="L11" s="42" t="inlineStr">
        <is>
          <t>Conditional</t>
        </is>
      </c>
      <c r="M11" s="42" t="inlineStr">
        <is>
          <t>Product/UX + Frontend</t>
        </is>
      </c>
      <c r="N11" s="42" t="inlineStr">
        <is>
          <t>G3 — Workflow efficiency &amp; declutter</t>
        </is>
      </c>
      <c r="O11" s="42" t="inlineStr">
        <is>
          <t>IMP-001,IMP-005,IMP-019,UX-CONTAINER-001</t>
        </is>
      </c>
      <c r="P11" s="42" t="inlineStr">
        <is>
          <t>UAT-UX-002</t>
        </is>
      </c>
    </row>
    <row r="12" ht="68" customHeight="1">
      <c r="A12" s="42" t="inlineStr">
        <is>
          <t>QA-003</t>
        </is>
      </c>
      <c r="B12" s="42" t="inlineStr">
        <is>
          <t>P2</t>
        </is>
      </c>
      <c r="C12" s="42" t="inlineStr">
        <is>
          <t>Performance Engineering</t>
        </is>
      </c>
      <c r="D12" s="42" t="inlineStr">
        <is>
          <t>Missing release budget</t>
        </is>
      </c>
      <c r="E12" s="42" t="inlineStr">
        <is>
          <t>No unified performance budget covers sequence startup, scrubbing, cut readiness, folder scan/import, media-bin scrolling, workflow indexing, graph load, memory, and event-loop delay.</t>
        </is>
      </c>
      <c r="F12" s="42" t="inlineStr">
        <is>
          <t>Performance failures remain subjective and can regress unnoticed.</t>
        </is>
      </c>
      <c r="G12" s="42" t="inlineStr">
        <is>
          <t>Define workstation-specific budgets and collect repeatable traces in CI or a dedicated hardware gate.</t>
        </is>
      </c>
      <c r="H12" s="42" t="inlineStr">
        <is>
          <t>Each primary operation has a documented threshold, fixture, measurement method, and release-failing test where feasible.</t>
        </is>
      </c>
      <c r="I12" s="42" t="inlineStr">
        <is>
          <t>User QA plan</t>
        </is>
      </c>
      <c r="J12" s="42" t="inlineStr">
        <is>
          <t>Yes</t>
        </is>
      </c>
      <c r="K12" s="42" t="inlineStr">
        <is>
          <t>Performance / Release</t>
        </is>
      </c>
      <c r="L12" s="42" t="inlineStr">
        <is>
          <t>Conditional</t>
        </is>
      </c>
      <c r="M12" s="42" t="inlineStr">
        <is>
          <t>QA Performance + DevOps</t>
        </is>
      </c>
      <c r="N12" s="42" t="inlineStr">
        <is>
          <t>G4 — Accessibility &amp; release gates</t>
        </is>
      </c>
      <c r="O12" s="42" t="str"/>
      <c r="P12" s="42" t="inlineStr">
        <is>
          <t>UAT-PERF-001,UAT-PERF-002,UAT-PERF-003</t>
        </is>
      </c>
    </row>
    <row r="13" ht="68" customHeight="1">
      <c r="A13" s="42" t="inlineStr">
        <is>
          <t>SCOPE-003</t>
        </is>
      </c>
      <c r="B13" s="42" t="inlineStr">
        <is>
          <t>P2</t>
        </is>
      </c>
      <c r="C13" s="42" t="inlineStr">
        <is>
          <t>Product Scope / Comfy Picker</t>
        </is>
      </c>
      <c r="D13" s="42" t="inlineStr">
        <is>
          <t>Decision required</t>
        </is>
      </c>
      <c r="E13" s="42" t="inlineStr">
        <is>
          <t>The generic Comfy section assumes a gallery-style asset browser with folders, thumbnails, and multi-select, but `17234f7` implements workflow selection for the embedded canvas.</t>
        </is>
      </c>
      <c r="F13" s="42" t="inlineStr">
        <is>
          <t>The wrong mental model can distort both QA and implementation priorities.</t>
        </is>
      </c>
      <c r="G13" s="42" t="inlineStr">
        <is>
          <t>Name and scope the current feature as Workflow Picker. Decide separately whether an Asset Picker/Gallery is required and which data source it owns.</t>
        </is>
      </c>
      <c r="H13" s="42" t="inlineStr">
        <is>
          <t>Current release criteria test the workflow picker; a gallery is not silently added or treated as a missing bug without an approved epic.</t>
        </is>
      </c>
      <c r="I13" s="42" t="inlineStr">
        <is>
          <t>Reconciliation scope correction</t>
        </is>
      </c>
      <c r="J13" s="42" t="inlineStr">
        <is>
          <t>Decision</t>
        </is>
      </c>
      <c r="K13" s="42" t="inlineStr">
        <is>
          <t>Product Decision</t>
        </is>
      </c>
      <c r="L13" s="42" t="inlineStr">
        <is>
          <t>Conditional</t>
        </is>
      </c>
      <c r="M13" s="42" t="inlineStr">
        <is>
          <t>Product</t>
        </is>
      </c>
      <c r="N13" s="42" t="inlineStr">
        <is>
          <t>Future — Product decisions</t>
        </is>
      </c>
      <c r="O13" s="42" t="str"/>
      <c r="P13" s="42" t="inlineStr">
        <is>
          <t>UAT-UX-003</t>
        </is>
      </c>
    </row>
    <row r="14" ht="68" customHeight="1">
      <c r="A14" s="42" t="inlineStr">
        <is>
          <t>SCOPE-001</t>
        </is>
      </c>
      <c r="B14" s="42" t="inlineStr">
        <is>
          <t>P2</t>
        </is>
      </c>
      <c r="C14" s="42" t="inlineStr">
        <is>
          <t>Product Scope / Platform</t>
        </is>
      </c>
      <c r="D14" s="42" t="inlineStr">
        <is>
          <t>Decision required</t>
        </is>
      </c>
      <c r="E14" s="42" t="inlineStr">
        <is>
          <t>The generic plan requests desktop, tablet, mobile, Safari, iOS, and Android coverage, while the application is a local workstation product with Windows scripts, local ComfyUI, and desktop-width assumptions.</t>
        </is>
      </c>
      <c r="F14" s="42" t="inlineStr">
        <is>
          <t>An undefined support boundary either creates impossible release criteria or leaves the actual primary platform under-tested.</t>
        </is>
      </c>
      <c r="G14" s="42" t="inlineStr">
        <is>
          <t>Approve a current release support matrix, recommended as Windows 11 with supported Chromium/Edge versions, then define later expansion epics separately.</t>
        </is>
      </c>
      <c r="H14" s="42" t="inlineStr">
        <is>
          <t>An ADR/spec lists supported and unsupported platforms, and QA/UX requirements align to it.</t>
        </is>
      </c>
      <c r="I14" s="42" t="inlineStr">
        <is>
          <t>Reconciliation scope correction</t>
        </is>
      </c>
      <c r="J14" s="42" t="inlineStr">
        <is>
          <t>Decision</t>
        </is>
      </c>
      <c r="K14" s="42" t="inlineStr">
        <is>
          <t>Product Decision</t>
        </is>
      </c>
      <c r="L14" s="42" t="inlineStr">
        <is>
          <t>Conditional</t>
        </is>
      </c>
      <c r="M14" s="42" t="inlineStr">
        <is>
          <t>Product</t>
        </is>
      </c>
      <c r="N14" s="42" t="inlineStr">
        <is>
          <t>Future — Product decisions</t>
        </is>
      </c>
      <c r="O14" s="42" t="str"/>
      <c r="P14" s="42" t="inlineStr">
        <is>
          <t>UAT-REG-011</t>
        </is>
      </c>
    </row>
    <row r="15" ht="68" customHeight="1">
      <c r="A15" s="42" t="inlineStr">
        <is>
          <t>SCOPE-004</t>
        </is>
      </c>
      <c r="B15" s="42" t="inlineStr">
        <is>
          <t>P2</t>
        </is>
      </c>
      <c r="C15" s="42" t="inlineStr">
        <is>
          <t>Product Scope / Takes</t>
        </is>
      </c>
      <c r="D15" s="42" t="inlineStr">
        <is>
          <t>Decision required</t>
        </is>
      </c>
      <c r="E15" s="42" t="inlineStr">
        <is>
          <t>The supplied plan assumes a complete take-management CRUD system, while current takes are generated/imported media records associated with storyboard/sequence context.</t>
        </is>
      </c>
      <c r="F15" s="42" t="inlineStr">
        <is>
          <t>Without a data-model decision, rename/delete/duplicate/reorder behavior can conflict with active versions and canonical assets.</t>
        </is>
      </c>
      <c r="G15" s="42" t="inlineStr">
        <is>
          <t>Approve the take domain model and list which operations are required for the next release versus roadmap.</t>
        </is>
      </c>
      <c r="H15" s="42" t="inlineStr">
        <is>
          <t>QA labels only approved operations as defects; the implementation and persistence model match the decision.</t>
        </is>
      </c>
      <c r="I15" s="42" t="inlineStr">
        <is>
          <t>Reconciliation scope correction</t>
        </is>
      </c>
      <c r="J15" s="42" t="inlineStr">
        <is>
          <t>Decision</t>
        </is>
      </c>
      <c r="K15" s="42" t="inlineStr">
        <is>
          <t>Product Decision</t>
        </is>
      </c>
      <c r="L15" s="42" t="inlineStr">
        <is>
          <t>Conditional</t>
        </is>
      </c>
      <c r="M15" s="42" t="inlineStr">
        <is>
          <t>Product + Architecture</t>
        </is>
      </c>
      <c r="N15" s="42" t="inlineStr">
        <is>
          <t>Future — Product decisions</t>
        </is>
      </c>
      <c r="O15" s="42" t="inlineStr">
        <is>
          <t>TAKE-007</t>
        </is>
      </c>
      <c r="P15" s="42" t="str"/>
    </row>
    <row r="16" ht="68" customHeight="1">
      <c r="A16" s="42" t="inlineStr">
        <is>
          <t>QA-002</t>
        </is>
      </c>
      <c r="B16" s="42" t="inlineStr">
        <is>
          <t>P2</t>
        </is>
      </c>
      <c r="C16" s="42" t="inlineStr">
        <is>
          <t>Release Engineering / Platform Support</t>
        </is>
      </c>
      <c r="D16" s="42" t="inlineStr">
        <is>
          <t>Missing support policy</t>
        </is>
      </c>
      <c r="E16" s="42" t="inlineStr">
        <is>
          <t>There is no published browser/OS support matrix for a local desktop application that depends on folder drag APIs, iframe access, local services, and Windows tooling.</t>
        </is>
      </c>
      <c r="F16" s="42" t="inlineStr">
        <is>
          <t>Teams can waste effort testing unsupported combinations or ship regressions on the actual supported workstation.</t>
        </is>
      </c>
      <c r="G16" s="42" t="inlineStr">
        <is>
          <t>Define the supported matrix and automate the primary combinations; list unsupported browsers/OSs in-product rather than implying universal support.</t>
        </is>
      </c>
      <c r="H16" s="42" t="inlineStr">
        <is>
          <t>Release documentation names supported OS/browser versions and every required combination has a passing smoke suite.</t>
        </is>
      </c>
      <c r="I16" s="42" t="inlineStr">
        <is>
          <t>User QA plan</t>
        </is>
      </c>
      <c r="J16" s="42" t="inlineStr">
        <is>
          <t>Yes</t>
        </is>
      </c>
      <c r="K16" s="42" t="inlineStr">
        <is>
          <t>Release / Product Decision</t>
        </is>
      </c>
      <c r="L16" s="42" t="inlineStr">
        <is>
          <t>Conditional</t>
        </is>
      </c>
      <c r="M16" s="42" t="inlineStr">
        <is>
          <t>Product + QA + DevOps</t>
        </is>
      </c>
      <c r="N16" s="42" t="inlineStr">
        <is>
          <t>G4 — Accessibility &amp; release gates</t>
        </is>
      </c>
      <c r="O16" s="42" t="str"/>
      <c r="P16" s="42" t="inlineStr">
        <is>
          <t>UAT-REG-011</t>
        </is>
      </c>
    </row>
    <row r="17" ht="68" customHeight="1">
      <c r="A17" s="42" t="inlineStr">
        <is>
          <t>UX-CONTAINER-003</t>
        </is>
      </c>
      <c r="B17" s="42" t="inlineStr">
        <is>
          <t>P2</t>
        </is>
      </c>
      <c r="C17" s="42" t="inlineStr">
        <is>
          <t>Responsive Containers</t>
        </is>
      </c>
      <c r="D17" s="42" t="inlineStr">
        <is>
          <t>Responsive UX requirement</t>
        </is>
      </c>
      <c r="E17" s="42" t="inlineStr">
        <is>
          <t>Drawer, modal, popover, and sheet behavior is not specified across low-height desktop, split-screen, high zoom, and possible touch layouts.</t>
        </is>
      </c>
      <c r="F17" s="42" t="inlineStr">
        <is>
          <t>A decluttering pass can still hide controls off-screen or create nested scrolling if containers do not adapt deliberately.</t>
        </is>
      </c>
      <c r="G17" s="42" t="inlineStr">
        <is>
          <t>Define workstation breakpoints: side drawer on wide desktop, full-height overlay/docked panel on constrained desktop, and bottom sheet only for approved touch/tablet targets.</t>
        </is>
      </c>
      <c r="H17" s="42" t="inlineStr">
        <is>
          <t>Containers remain dismissible and fully usable at supported resolutions, 150% Windows scaling, and 400% zoom without clipping essential actions.</t>
        </is>
      </c>
      <c r="I17" s="42" t="inlineStr">
        <is>
          <t>Decluttering pass</t>
        </is>
      </c>
      <c r="J17" s="42" t="inlineStr">
        <is>
          <t>Yes</t>
        </is>
      </c>
      <c r="K17" s="42" t="inlineStr">
        <is>
          <t>Responsive UX</t>
        </is>
      </c>
      <c r="L17" s="42" t="inlineStr">
        <is>
          <t>Conditional</t>
        </is>
      </c>
      <c r="M17" s="42" t="inlineStr">
        <is>
          <t>Product/UX + Frontend</t>
        </is>
      </c>
      <c r="N17" s="42" t="inlineStr">
        <is>
          <t>G3 — Workflow efficiency &amp; declutter</t>
        </is>
      </c>
      <c r="O17" s="42" t="inlineStr">
        <is>
          <t>A11Y-005,A11Y-011,UX-CONTAINER-001</t>
        </is>
      </c>
      <c r="P17" s="42" t="inlineStr">
        <is>
          <t>UAT-UX-006</t>
        </is>
      </c>
    </row>
    <row r="18" ht="68" customHeight="1">
      <c r="A18" s="42" t="inlineStr">
        <is>
          <t>IMP-019</t>
        </is>
      </c>
      <c r="B18" s="42" t="inlineStr">
        <is>
          <t>P2</t>
        </is>
      </c>
      <c r="C18" s="42" t="inlineStr">
        <is>
          <t>Sequence / Folder Drop</t>
        </is>
      </c>
      <c r="D18" s="42" t="inlineStr">
        <is>
          <t>Confirmed UX state gap</t>
        </is>
      </c>
      <c r="E18" s="42" t="inlineStr">
        <is>
          <t>Drop targets do not expose clear drag-enter, valid, invalid, nested-target priority, or drag-leave cleanup states.</t>
        </is>
      </c>
      <c r="F18" s="42" t="inlineStr">
        <is>
          <t>Users cannot confidently predict where media will land, whether a payload is accepted, or why a drop was rejected.</t>
        </is>
      </c>
      <c r="G18" s="42" t="inlineStr">
        <is>
          <t>Add one coordinated drag-state model with valid/invalid styling, nested target ownership, current destination text, and guaranteed cleanup on leave, Escape, drop, and error.</t>
        </is>
      </c>
      <c r="H18" s="42" t="inlineStr">
        <is>
          <t>Library, timeline, and track targets show mutually exclusive destination states; invalid payloads are obvious; no highlight remains after cancel or failure.</t>
        </is>
      </c>
      <c r="I18" s="42" t="inlineStr">
        <is>
          <t>User QA plan</t>
        </is>
      </c>
      <c r="J18" s="42" t="inlineStr">
        <is>
          <t>Yes</t>
        </is>
      </c>
      <c r="K18" s="42" t="inlineStr">
        <is>
          <t>UX Defect</t>
        </is>
      </c>
      <c r="L18" s="42" t="inlineStr">
        <is>
          <t>Conditional</t>
        </is>
      </c>
      <c r="M18" s="42" t="inlineStr">
        <is>
          <t>Frontend + UX</t>
        </is>
      </c>
      <c r="N18" s="42" t="inlineStr">
        <is>
          <t>G3 — Workflow efficiency &amp; declutter</t>
        </is>
      </c>
      <c r="O18" s="42" t="str"/>
      <c r="P18" s="42" t="inlineStr">
        <is>
          <t>UAT-DROP-021</t>
        </is>
      </c>
    </row>
    <row r="19" ht="68" customHeight="1">
      <c r="A19" s="42" t="inlineStr">
        <is>
          <t>IMP-020</t>
        </is>
      </c>
      <c r="B19" s="42" t="inlineStr">
        <is>
          <t>P2</t>
        </is>
      </c>
      <c r="C19" s="42" t="inlineStr">
        <is>
          <t>Sequence / Folder Drop</t>
        </is>
      </c>
      <c r="D19" s="42" t="inlineStr">
        <is>
          <t>Confirmed missing preflight control</t>
        </is>
      </c>
      <c r="E19" s="42" t="inlineStr">
        <is>
          <t>The import flow has no aggregate count, total-byte, directory-depth, filename/path-length, or project-quota preflight before uploads begin.</t>
        </is>
      </c>
      <c r="F19" s="42" t="inlineStr">
        <is>
          <t>Accidental huge drops can consume time, memory, and disk before the user understands the operation.</t>
        </is>
      </c>
      <c r="G19" s="42" t="inlineStr">
        <is>
          <t>Add a scan/preflight endpoint and UI that reports eligible, rejected, duplicate, count, total bytes, deepest path, and quota impact before committing large jobs.</t>
        </is>
      </c>
      <c r="H19" s="42" t="inlineStr">
        <is>
          <t>Threshold-crossing drops require an explicit confirmation and cannot exceed configured per-job or per-project limits.</t>
        </is>
      </c>
      <c r="I19" s="42" t="inlineStr">
        <is>
          <t>User QA plan</t>
        </is>
      </c>
      <c r="J19" s="42" t="inlineStr">
        <is>
          <t>Yes</t>
        </is>
      </c>
      <c r="K19" s="42" t="inlineStr">
        <is>
          <t>Reliability</t>
        </is>
      </c>
      <c r="L19" s="42" t="inlineStr">
        <is>
          <t>Conditional</t>
        </is>
      </c>
      <c r="M19" s="42" t="inlineStr">
        <is>
          <t>Full Stack</t>
        </is>
      </c>
      <c r="N19" s="42" t="inlineStr">
        <is>
          <t>G2 — Playback/import architecture</t>
        </is>
      </c>
      <c r="O19" s="42" t="inlineStr">
        <is>
          <t>IMP-003</t>
        </is>
      </c>
      <c r="P19" s="42" t="inlineStr">
        <is>
          <t>UAT-DROP-024</t>
        </is>
      </c>
    </row>
    <row r="20" ht="68" customHeight="1">
      <c r="A20" s="42" t="inlineStr">
        <is>
          <t>IMP-022</t>
        </is>
      </c>
      <c r="B20" s="42" t="inlineStr">
        <is>
          <t>P2</t>
        </is>
      </c>
      <c r="C20" s="42" t="inlineStr">
        <is>
          <t>Sequence / Folder Drop</t>
        </is>
      </c>
      <c r="D20" s="42" t="inlineStr">
        <is>
          <t>Missing user-control capability</t>
        </is>
      </c>
      <c r="E20" s="42" t="inlineStr">
        <is>
          <t>There is no single undo action for an entire folder import, including copied files and registered metadata.</t>
        </is>
      </c>
      <c r="F20" s="42" t="inlineStr">
        <is>
          <t>A mistaken drop requires manual cleanup and can leave duplicate or unused project media.</t>
        </is>
      </c>
      <c r="G20" s="42" t="inlineStr">
        <is>
          <t>Record every import as a reversible job and provide Undo import with dependency checks, safe file cleanup, and a review step when media has already been placed in the timeline.</t>
        </is>
      </c>
      <c r="H20" s="42" t="inlineStr">
        <is>
          <t>Undo removes only files/records created by that job, preserves referenced media unless confirmed, and is itself auditable.</t>
        </is>
      </c>
      <c r="I20" s="42" t="inlineStr">
        <is>
          <t>User QA plan</t>
        </is>
      </c>
      <c r="J20" s="42" t="inlineStr">
        <is>
          <t>Yes</t>
        </is>
      </c>
      <c r="K20" s="42" t="inlineStr">
        <is>
          <t>Enhancement / Recovery</t>
        </is>
      </c>
      <c r="L20" s="42" t="inlineStr">
        <is>
          <t>Conditional</t>
        </is>
      </c>
      <c r="M20" s="42" t="inlineStr">
        <is>
          <t>Full Stack</t>
        </is>
      </c>
      <c r="N20" s="42" t="inlineStr">
        <is>
          <t>G3 — Workflow efficiency &amp; declutter</t>
        </is>
      </c>
      <c r="O20" s="42" t="inlineStr">
        <is>
          <t>IMP-025,IMP-010</t>
        </is>
      </c>
      <c r="P20" s="42" t="inlineStr">
        <is>
          <t>UAT-DROP-026</t>
        </is>
      </c>
    </row>
    <row r="21" ht="68" customHeight="1">
      <c r="A21" s="42" t="inlineStr">
        <is>
          <t>IMP-023</t>
        </is>
      </c>
      <c r="B21" s="42" t="inlineStr">
        <is>
          <t>P2</t>
        </is>
      </c>
      <c r="C21" s="42" t="inlineStr">
        <is>
          <t>Sequence / Folder Drop</t>
        </is>
      </c>
      <c r="D21" s="42" t="inlineStr">
        <is>
          <t>Behavior contract missing</t>
        </is>
      </c>
      <c r="E21" s="42" t="inlineStr">
        <is>
          <t>The product does not define what happens when a folder is dropped while the sequence is playing, autosaving, or in a revision-conflict state.</t>
        </is>
      </c>
      <c r="F21" s="42" t="inlineStr">
        <is>
          <t>Playback, selection, save state, and import feedback can compete, making the result difficult to understand or reproduce.</t>
        </is>
      </c>
      <c r="G21" s="42" t="inlineStr">
        <is>
          <t>Define and implement a deterministic policy: keep preview playing with non-blocking import, or pause with explanation; never allow import to bypass an unresolved edit conflict.</t>
        </is>
      </c>
      <c r="H21" s="42" t="inlineStr">
        <is>
          <t>Dropping during playback and during a save conflict produces the documented state with no lost edit, duplicated action, or hidden media failure.</t>
        </is>
      </c>
      <c r="I21" s="42" t="inlineStr">
        <is>
          <t>User QA plan</t>
        </is>
      </c>
      <c r="J21" s="42" t="inlineStr">
        <is>
          <t>Yes</t>
        </is>
      </c>
      <c r="K21" s="42" t="inlineStr">
        <is>
          <t>Product / Reliability</t>
        </is>
      </c>
      <c r="L21" s="42" t="inlineStr">
        <is>
          <t>Conditional</t>
        </is>
      </c>
      <c r="M21" s="42" t="inlineStr">
        <is>
          <t>Product + Frontend</t>
        </is>
      </c>
      <c r="N21" s="42" t="inlineStr">
        <is>
          <t>G1 — State truth &amp; silent loss</t>
        </is>
      </c>
      <c r="O21" s="42" t="str"/>
      <c r="P21" s="42" t="inlineStr">
        <is>
          <t>UAT-DROP-027</t>
        </is>
      </c>
    </row>
    <row r="22" ht="68" customHeight="1">
      <c r="A22" s="42" t="inlineStr">
        <is>
          <t>IMP-024</t>
        </is>
      </c>
      <c r="B22" s="42" t="inlineStr">
        <is>
          <t>P2</t>
        </is>
      </c>
      <c r="C22" s="42" t="inlineStr">
        <is>
          <t>Sequence / Folder Drop</t>
        </is>
      </c>
      <c r="D22" s="42" t="inlineStr">
        <is>
          <t>Validation/test gap</t>
        </is>
      </c>
      <c r="E22" s="42" t="inlineStr">
        <is>
          <t>Empty folders, hidden/system files, unreadable subfolders, symbolic links, circular references, and extreme path lengths have no declared product policy or regression coverage.</t>
        </is>
      </c>
      <c r="F22" s="42" t="inlineStr">
        <is>
          <t>Cross-OS folder trees can hang, omit content, or generate unexplained partial imports.</t>
        </is>
      </c>
      <c r="G22" s="42" t="inlineStr">
        <is>
          <t>Define supported traversal semantics, skip or reject unsafe entries deterministically, cap depth/path length, and include every omission in the import report.</t>
        </is>
      </c>
      <c r="H22" s="42" t="inlineStr">
        <is>
          <t>All edge fixtures finish without infinite traversal; skipped entries are counted and explained; no path escapes the selected tree or project root.</t>
        </is>
      </c>
      <c r="I22" s="42" t="inlineStr">
        <is>
          <t>User QA plan</t>
        </is>
      </c>
      <c r="J22" s="42" t="inlineStr">
        <is>
          <t>Yes</t>
        </is>
      </c>
      <c r="K22" s="42" t="inlineStr">
        <is>
          <t>Reliability / Test</t>
        </is>
      </c>
      <c r="L22" s="42" t="inlineStr">
        <is>
          <t>Conditional</t>
        </is>
      </c>
      <c r="M22" s="42" t="inlineStr">
        <is>
          <t>Full Stack + QA</t>
        </is>
      </c>
      <c r="N22" s="42" t="inlineStr">
        <is>
          <t>G2 — Playback/import architecture</t>
        </is>
      </c>
      <c r="O22" s="42" t="str"/>
      <c r="P22" s="42" t="inlineStr">
        <is>
          <t>UAT-DROP-023</t>
        </is>
      </c>
    </row>
    <row r="23" ht="68" customHeight="1">
      <c r="A23" s="42" t="inlineStr">
        <is>
          <t>IMP-025</t>
        </is>
      </c>
      <c r="B23" s="42" t="inlineStr">
        <is>
          <t>P2</t>
        </is>
      </c>
      <c r="C23" s="42" t="inlineStr">
        <is>
          <t>Sequence / Folder Drop</t>
        </is>
      </c>
      <c r="D23" s="42" t="inlineStr">
        <is>
          <t>Architecture/recovery gap</t>
        </is>
      </c>
      <c r="E23" s="42" t="inlineStr">
        <is>
          <t>Folder imports are not modeled as durable resumable jobs that survive refresh or application restart.</t>
        </is>
      </c>
      <c r="F23" s="42" t="inlineStr">
        <is>
          <t>A browser refresh, app restart, or transient service failure can leave users unable to reconcile what completed and what did not.</t>
        </is>
      </c>
      <c r="G23" s="42" t="inlineStr">
        <is>
          <t>Persist import jobs with stable IDs, stage/terminal states, progress reconciliation, and safe retry/resume semantics.</t>
        </is>
      </c>
      <c r="H23" s="42" t="inlineStr">
        <is>
          <t>Refreshing or restarting during a large import restores the same job, exact per-file results, and valid retry/cancel controls.</t>
        </is>
      </c>
      <c r="I23" s="42" t="inlineStr">
        <is>
          <t>User QA plan</t>
        </is>
      </c>
      <c r="J23" s="42" t="inlineStr">
        <is>
          <t>Yes</t>
        </is>
      </c>
      <c r="K23" s="42" t="inlineStr">
        <is>
          <t>Architecture</t>
        </is>
      </c>
      <c r="L23" s="42" t="inlineStr">
        <is>
          <t>Conditional</t>
        </is>
      </c>
      <c r="M23" s="42" t="inlineStr">
        <is>
          <t>Backend + Frontend</t>
        </is>
      </c>
      <c r="N23" s="42" t="inlineStr">
        <is>
          <t>G2 — Playback/import architecture</t>
        </is>
      </c>
      <c r="O23" s="42" t="inlineStr">
        <is>
          <t>IMP-003,IMP-005,IMP-013</t>
        </is>
      </c>
      <c r="P23" s="42" t="inlineStr">
        <is>
          <t>UAT-DROP-028</t>
        </is>
      </c>
    </row>
    <row r="24" ht="68" customHeight="1">
      <c r="A24" s="42" t="inlineStr">
        <is>
          <t>IMP-021</t>
        </is>
      </c>
      <c r="B24" s="42" t="inlineStr">
        <is>
          <t>P2</t>
        </is>
      </c>
      <c r="C24" s="42" t="inlineStr">
        <is>
          <t>Sequence / Folder Drop / Security</t>
        </is>
      </c>
      <c r="D24" s="42" t="inlineStr">
        <is>
          <t>Confirmed validation gap</t>
        </is>
      </c>
      <c r="E24" s="42" t="inlineStr">
        <is>
          <t>Media acceptance is driven primarily by filename extension; no explicit content-signature/MIME validation is present before probing and storage.</t>
        </is>
      </c>
      <c r="F24" s="42" t="inlineStr">
        <is>
          <t>Renamed or malformed files can enter expensive decoders, create confusing failures, or broaden the attack surface of local media tooling.</t>
        </is>
      </c>
      <c r="G24" s="42" t="inlineStr">
        <is>
          <t>Validate content type and media signature server-side, reject mismatches before permanent registration, and log the original name plus detected type.</t>
        </is>
      </c>
      <c r="H24" s="42" t="inlineStr">
        <is>
          <t>Files whose extension and detected content disagree are rejected safely with a precise reason; valid fixtures for every supported type still import.</t>
        </is>
      </c>
      <c r="I24" s="42" t="inlineStr">
        <is>
          <t>User QA plan</t>
        </is>
      </c>
      <c r="J24" s="42" t="inlineStr">
        <is>
          <t>Yes</t>
        </is>
      </c>
      <c r="K24" s="42" t="inlineStr">
        <is>
          <t>Security / Reliability</t>
        </is>
      </c>
      <c r="L24" s="42" t="inlineStr">
        <is>
          <t>Conditional</t>
        </is>
      </c>
      <c r="M24" s="42" t="inlineStr">
        <is>
          <t>Backend + Security</t>
        </is>
      </c>
      <c r="N24" s="42" t="inlineStr">
        <is>
          <t>G2 — Playback/import architecture</t>
        </is>
      </c>
      <c r="O24" s="42" t="str"/>
      <c r="P24" s="42" t="inlineStr">
        <is>
          <t>UAT-DROP-025</t>
        </is>
      </c>
    </row>
    <row r="25" ht="68" customHeight="1">
      <c r="A25" s="42" t="inlineStr">
        <is>
          <t>SEQ-PERF-001</t>
        </is>
      </c>
      <c r="B25" s="42" t="inlineStr">
        <is>
          <t>P2</t>
        </is>
      </c>
      <c r="C25" s="42" t="inlineStr">
        <is>
          <t>Sequence / Performance</t>
        </is>
      </c>
      <c r="D25" s="42" t="inlineStr">
        <is>
          <t>Missing performance budget</t>
        </is>
      </c>
      <c r="E25" s="42" t="inlineStr">
        <is>
          <t>No published latency, dropped-frame, memory, or responsiveness budget exists for continuous scrubbing and long high-resolution edits.</t>
        </is>
      </c>
      <c r="F25" s="42" t="inlineStr">
        <is>
          <t>Performance regressions cannot be distinguished from acceptable preview limitations.</t>
        </is>
      </c>
      <c r="G25" s="42" t="inlineStr">
        <is>
          <t>Define measurable budgets for seek latency, scrub response, cut readiness, dropped frames, CPU, decoder count, and memory, then gate representative fixtures.</t>
        </is>
      </c>
      <c r="H25" s="42" t="inlineStr">
        <is>
          <t>The agreed workstation fixtures meet budgets and failures produce reproducible performance traces.</t>
        </is>
      </c>
      <c r="I25" s="42" t="inlineStr">
        <is>
          <t>User QA plan</t>
        </is>
      </c>
      <c r="J25" s="42" t="inlineStr">
        <is>
          <t>Yes</t>
        </is>
      </c>
      <c r="K25" s="42" t="inlineStr">
        <is>
          <t>Performance / Test</t>
        </is>
      </c>
      <c r="L25" s="42" t="inlineStr">
        <is>
          <t>Conditional</t>
        </is>
      </c>
      <c r="M25" s="42" t="inlineStr">
        <is>
          <t>QA Performance + Media Engine</t>
        </is>
      </c>
      <c r="N25" s="42" t="inlineStr">
        <is>
          <t>G4 — Accessibility &amp; release gates</t>
        </is>
      </c>
      <c r="O25" s="42" t="str"/>
      <c r="P25" s="42" t="inlineStr">
        <is>
          <t>UAT-PERF-001</t>
        </is>
      </c>
    </row>
    <row r="26" ht="68" customHeight="1">
      <c r="A26" s="42" t="inlineStr">
        <is>
          <t>SEQ-STATE-002</t>
        </is>
      </c>
      <c r="B26" s="42" t="inlineStr">
        <is>
          <t>P2</t>
        </is>
      </c>
      <c r="C26" s="42" t="inlineStr">
        <is>
          <t>Sequence / Playback</t>
        </is>
      </c>
      <c r="D26" s="42" t="inlineStr">
        <is>
          <t>Runtime recovery gap</t>
        </is>
      </c>
      <c r="E26" s="42" t="inlineStr">
        <is>
          <t>System sleep/wake, audio-device changes, and long application suspension have no explicit transport resynchronization policy.</t>
        </is>
      </c>
      <c r="F26" s="42" t="inlineStr">
        <is>
          <t>The preview can resume with stale clocks, duplicated audio, or an incorrect play state.</t>
        </is>
      </c>
      <c r="G26" s="42" t="inlineStr">
        <is>
          <t>Listen for lifecycle/device changes, pause or rebuild the media graph safely, and provide a clear resume action.</t>
        </is>
      </c>
      <c r="H26" s="42" t="inlineStr">
        <is>
          <t>After sleep/wake and device change, the editor reports the correct state and resumes only from a synchronized position.</t>
        </is>
      </c>
      <c r="I26" s="42" t="inlineStr">
        <is>
          <t>User QA plan</t>
        </is>
      </c>
      <c r="J26" s="42" t="inlineStr">
        <is>
          <t>Yes</t>
        </is>
      </c>
      <c r="K26" s="42" t="inlineStr">
        <is>
          <t>Reliability</t>
        </is>
      </c>
      <c r="L26" s="42" t="inlineStr">
        <is>
          <t>Conditional</t>
        </is>
      </c>
      <c r="M26" s="42" t="inlineStr">
        <is>
          <t>Media Engine</t>
        </is>
      </c>
      <c r="N26" s="42" t="inlineStr">
        <is>
          <t>G2 — Playback/import architecture</t>
        </is>
      </c>
      <c r="O26" s="42" t="str"/>
      <c r="P26" s="42" t="inlineStr">
        <is>
          <t>UAT-PLAY-022</t>
        </is>
      </c>
    </row>
    <row r="27" ht="68" customHeight="1">
      <c r="A27" s="42" t="inlineStr">
        <is>
          <t>SEQ-STATE-001</t>
        </is>
      </c>
      <c r="B27" s="42" t="inlineStr">
        <is>
          <t>P2</t>
        </is>
      </c>
      <c r="C27" s="42" t="inlineStr">
        <is>
          <t>Sequence / State Boundaries</t>
        </is>
      </c>
      <c r="D27" s="42" t="inlineStr">
        <is>
          <t>Test/specification gap</t>
        </is>
      </c>
      <c r="E27" s="42" t="inlineStr">
        <is>
          <t>Behavior is not explicitly specified or behaviorally tested for an empty edit, a one-frame clip, maximum-duration edits, and sequences near configured item limits.</t>
        </is>
      </c>
      <c r="F27" s="42" t="inlineStr">
        <is>
          <t>Boundary conditions can produce disabled controls, invalid step values, overflow, or export/preview disagreement.</t>
        </is>
      </c>
      <c r="G27" s="42" t="inlineStr">
        <is>
          <t>Create boundary fixtures and define control states, timecode behavior, saving, playback, and export expectations at each limit.</t>
        </is>
      </c>
      <c r="H27" s="42" t="inlineStr">
        <is>
          <t>Every supported boundary opens, edits, saves, plays or explains why it cannot, and exports without inconsistent duration or control state.</t>
        </is>
      </c>
      <c r="I27" s="42" t="inlineStr">
        <is>
          <t>User QA plan</t>
        </is>
      </c>
      <c r="J27" s="42" t="inlineStr">
        <is>
          <t>Yes</t>
        </is>
      </c>
      <c r="K27" s="42" t="inlineStr">
        <is>
          <t>Test / Reliability</t>
        </is>
      </c>
      <c r="L27" s="42" t="inlineStr">
        <is>
          <t>Conditional</t>
        </is>
      </c>
      <c r="M27" s="42" t="inlineStr">
        <is>
          <t>QA Automation + Media Engine</t>
        </is>
      </c>
      <c r="N27" s="42" t="inlineStr">
        <is>
          <t>G4 — Accessibility &amp; release gates</t>
        </is>
      </c>
      <c r="O27" s="42" t="str"/>
      <c r="P27" s="42" t="inlineStr">
        <is>
          <t>UAT-PLAY-021</t>
        </is>
      </c>
    </row>
    <row r="28" ht="68" customHeight="1">
      <c r="A28" s="42" t="inlineStr">
        <is>
          <t>TAKE-007</t>
        </is>
      </c>
      <c r="B28" s="42" t="inlineStr">
        <is>
          <t>P2</t>
        </is>
      </c>
      <c r="C28" s="42" t="inlineStr">
        <is>
          <t>Sequence / Takes</t>
        </is>
      </c>
      <c r="D28" s="42" t="inlineStr">
        <is>
          <t>Product-model gap</t>
        </is>
      </c>
      <c r="E28" s="42" t="inlineStr">
        <is>
          <t>The exhaustive plan assumes formal take Create/Rename/Duplicate/Delete/Reorder operations, but the current UI primarily consumes generated/imported media records rather than a dedicated take entity.</t>
        </is>
      </c>
      <c r="F28" s="42" t="inlineStr">
        <is>
          <t>Implementing ad hoc CRUD against media files could create conflicting concepts of take identity, active version, and canonical source.</t>
        </is>
      </c>
      <c r="G28" s="42" t="inlineStr">
        <is>
          <t>Decide and document the take entity model before adding CRUD; define identity, versioning, active status, file lifecycle, and timeline references.</t>
        </is>
      </c>
      <c r="H28" s="42" t="inlineStr">
        <is>
          <t>An approved data model and interaction spec exists; unsupported CRUD is not presented as a current bug, and implemented operations preserve references and undo.</t>
        </is>
      </c>
      <c r="I28" s="42" t="inlineStr">
        <is>
          <t>User QA plan</t>
        </is>
      </c>
      <c r="J28" s="42" t="inlineStr">
        <is>
          <t>Yes</t>
        </is>
      </c>
      <c r="K28" s="42" t="inlineStr">
        <is>
          <t>Product Decision / Architecture</t>
        </is>
      </c>
      <c r="L28" s="42" t="inlineStr">
        <is>
          <t>Conditional</t>
        </is>
      </c>
      <c r="M28" s="42" t="inlineStr">
        <is>
          <t>Product + Architecture</t>
        </is>
      </c>
      <c r="N28" s="42" t="inlineStr">
        <is>
          <t>Future — Product decisions</t>
        </is>
      </c>
      <c r="O28" s="42" t="str"/>
      <c r="P28" s="42" t="inlineStr">
        <is>
          <t>UAT-TAKE-011,UAT-TAKE-012</t>
        </is>
      </c>
    </row>
    <row r="29" ht="68" customHeight="1">
      <c r="A29" s="42" t="inlineStr">
        <is>
          <t>TAKE-009</t>
        </is>
      </c>
      <c r="B29" s="42" t="inlineStr">
        <is>
          <t>P2</t>
        </is>
      </c>
      <c r="C29" s="42" t="inlineStr">
        <is>
          <t>Sequence / Takes</t>
        </is>
      </c>
      <c r="D29" s="42" t="inlineStr">
        <is>
          <t>Error-prevention requirement</t>
        </is>
      </c>
      <c r="E29" s="42" t="inlineStr">
        <is>
          <t>The proposed destructive take operations have no defined soft-delete, undo, currently-playing, active-take, or timeline-reference policy.</t>
        </is>
      </c>
      <c r="F29" s="42" t="inlineStr">
        <is>
          <t>Deleting a referenced or playing take could create broken edits or irreversible media loss.</t>
        </is>
      </c>
      <c r="G29" s="42" t="inlineStr">
        <is>
          <t>Require soft delete and reference analysis; block or clearly confirm destructive actions; preserve an undo window and repair path.</t>
        </is>
      </c>
      <c r="H29" s="42" t="inlineStr">
        <is>
          <t>Deleting an active/referenced/playing take cannot silently break the sequence; undo restores metadata and media where supported.</t>
        </is>
      </c>
      <c r="I29" s="42" t="inlineStr">
        <is>
          <t>User QA plan</t>
        </is>
      </c>
      <c r="J29" s="42" t="inlineStr">
        <is>
          <t>Yes</t>
        </is>
      </c>
      <c r="K29" s="42" t="inlineStr">
        <is>
          <t>Product / Recovery</t>
        </is>
      </c>
      <c r="L29" s="42" t="inlineStr">
        <is>
          <t>Conditional</t>
        </is>
      </c>
      <c r="M29" s="42" t="inlineStr">
        <is>
          <t>Product + Full Stack</t>
        </is>
      </c>
      <c r="N29" s="42" t="inlineStr">
        <is>
          <t>Future — Product decisions</t>
        </is>
      </c>
      <c r="O29" s="42" t="inlineStr">
        <is>
          <t>TAKE-007</t>
        </is>
      </c>
      <c r="P29" s="42" t="inlineStr">
        <is>
          <t>UAT-TAKE-012</t>
        </is>
      </c>
    </row>
    <row r="30" ht="68" customHeight="1">
      <c r="A30" s="42" t="inlineStr">
        <is>
          <t>TAKE-010</t>
        </is>
      </c>
      <c r="B30" s="42" t="inlineStr">
        <is>
          <t>P2</t>
        </is>
      </c>
      <c r="C30" s="42" t="inlineStr">
        <is>
          <t>Sequence / Takes</t>
        </is>
      </c>
      <c r="D30" s="42" t="inlineStr">
        <is>
          <t>Persistence requirement</t>
        </is>
      </c>
      <c r="E30" s="42" t="inlineStr">
        <is>
          <t>The full take review state—active take, selection, compare state, metadata, and ordering—has no explicit persistence contract across reload/restart.</t>
        </is>
      </c>
      <c r="F30" s="42" t="inlineStr">
        <is>
          <t>Users can lose review context or see a different active candidate after reopening the project.</t>
        </is>
      </c>
      <c r="G30" s="42" t="inlineStr">
        <is>
          <t>Define project-persistent versus user-local state and restore it deterministically with migration/version handling.</t>
        </is>
      </c>
      <c r="H30" s="42" t="inlineStr">
        <is>
          <t>Reload and application restart restore the documented take state without changing the underlying sequence unexpectedly.</t>
        </is>
      </c>
      <c r="I30" s="42" t="inlineStr">
        <is>
          <t>User QA plan</t>
        </is>
      </c>
      <c r="J30" s="42" t="inlineStr">
        <is>
          <t>Yes</t>
        </is>
      </c>
      <c r="K30" s="42" t="inlineStr">
        <is>
          <t>Reliability / Product</t>
        </is>
      </c>
      <c r="L30" s="42" t="inlineStr">
        <is>
          <t>Conditional</t>
        </is>
      </c>
      <c r="M30" s="42" t="inlineStr">
        <is>
          <t>Frontend + Backend</t>
        </is>
      </c>
      <c r="N30" s="42" t="inlineStr">
        <is>
          <t>G3 — Workflow efficiency &amp; declutter</t>
        </is>
      </c>
      <c r="O30" s="42" t="inlineStr">
        <is>
          <t>TAKE-007</t>
        </is>
      </c>
      <c r="P30" s="42" t="inlineStr">
        <is>
          <t>UAT-TAKE-014</t>
        </is>
      </c>
    </row>
    <row r="31" ht="68" customHeight="1">
      <c r="A31" s="42" t="inlineStr">
        <is>
          <t>TAKE-011</t>
        </is>
      </c>
      <c r="B31" s="42" t="inlineStr">
        <is>
          <t>P2</t>
        </is>
      </c>
      <c r="C31" s="42" t="inlineStr">
        <is>
          <t>Sequence / Takes</t>
        </is>
      </c>
      <c r="D31" s="42" t="inlineStr">
        <is>
          <t>Concurrency requirement</t>
        </is>
      </c>
      <c r="E31" s="42" t="inlineStr">
        <is>
          <t>Formal take edits would need revision protection beyond the current sequence-save conflict path.</t>
        </is>
      </c>
      <c r="F31" s="42" t="inlineStr">
        <is>
          <t>Two windows could rename, promote, delete, or reorder the same take and silently lose one set of changes.</t>
        </is>
      </c>
      <c r="G31" s="42" t="inlineStr">
        <is>
          <t>Use revisioned/transactional take mutations and provide merge/reload choices that preserve user intent.</t>
        </is>
      </c>
      <c r="H31" s="42" t="inlineStr">
        <is>
          <t>Parallel conflicting take operations return a visible conflict and never lose or partially apply data.</t>
        </is>
      </c>
      <c r="I31" s="42" t="inlineStr">
        <is>
          <t>User QA plan</t>
        </is>
      </c>
      <c r="J31" s="42" t="inlineStr">
        <is>
          <t>Yes</t>
        </is>
      </c>
      <c r="K31" s="42" t="inlineStr">
        <is>
          <t>Architecture / Reliability</t>
        </is>
      </c>
      <c r="L31" s="42" t="inlineStr">
        <is>
          <t>Conditional</t>
        </is>
      </c>
      <c r="M31" s="42" t="inlineStr">
        <is>
          <t>Backend + Frontend</t>
        </is>
      </c>
      <c r="N31" s="42" t="inlineStr">
        <is>
          <t>Future — Product decisions</t>
        </is>
      </c>
      <c r="O31" s="42" t="inlineStr">
        <is>
          <t>TAKE-007</t>
        </is>
      </c>
      <c r="P31" s="42" t="inlineStr">
        <is>
          <t>UAT-TAKE-015</t>
        </is>
      </c>
    </row>
    <row r="32" ht="68" customHeight="1">
      <c r="A32" s="42" t="inlineStr">
        <is>
          <t>UX-DECLUTTER-001</t>
        </is>
      </c>
      <c r="B32" s="42" t="inlineStr">
        <is>
          <t>P2</t>
        </is>
      </c>
      <c r="C32" s="42" t="inlineStr">
        <is>
          <t>Sequence / Takes / Information Architecture</t>
        </is>
      </c>
      <c r="D32" s="42" t="inlineStr">
        <is>
          <t>UX redesign target</t>
        </is>
      </c>
      <c r="E32" s="42" t="inlineStr">
        <is>
          <t>The permanent sequence surface carries dense library, inspector, timeline tools, transport, metadata, and status information simultaneously.</t>
        </is>
      </c>
      <c r="F32" s="42" t="inlineStr">
        <is>
          <t>The editor is visually noisy and makes primary playback/take-selection actions compete with secondary controls.</t>
        </is>
      </c>
      <c r="G32" s="42" t="inlineStr">
        <is>
          <t>Keep program media, play/pause, scrubber/playhead, current take, and a compact take switcher permanent; move take details to a drawer, management to a modal, advanced transport to a popover, markers to contextual tools, and A/B compare to a focused modal.</t>
        </is>
      </c>
      <c r="H32" s="42" t="inlineStr">
        <is>
          <t>Primary review can be completed with the quiet surface; every moved capability remains reachable in one intentional action, keyboard accessible, and focus-safe.</t>
        </is>
      </c>
      <c r="I32" s="42" t="inlineStr">
        <is>
          <t>Decluttering pass</t>
        </is>
      </c>
      <c r="J32" s="42" t="inlineStr">
        <is>
          <t>Yes</t>
        </is>
      </c>
      <c r="K32" s="42" t="inlineStr">
        <is>
          <t>UX Redesign</t>
        </is>
      </c>
      <c r="L32" s="42" t="inlineStr">
        <is>
          <t>Conditional</t>
        </is>
      </c>
      <c r="M32" s="42" t="inlineStr">
        <is>
          <t>Product/UX + Frontend</t>
        </is>
      </c>
      <c r="N32" s="42" t="inlineStr">
        <is>
          <t>G3 — Workflow efficiency &amp; declutter</t>
        </is>
      </c>
      <c r="O32" s="42" t="inlineStr">
        <is>
          <t>TAKE-007,UX-CONTAINER-001</t>
        </is>
      </c>
      <c r="P32" s="42" t="inlineStr">
        <is>
          <t>UAT-UX-001</t>
        </is>
      </c>
    </row>
    <row r="33" ht="68" customHeight="1">
      <c r="A33" s="42" t="inlineStr">
        <is>
          <t>SEQ-PLAY-011</t>
        </is>
      </c>
      <c r="B33" s="42" t="inlineStr">
        <is>
          <t>P2</t>
        </is>
      </c>
      <c r="C33" s="42" t="inlineStr">
        <is>
          <t>Sequence / Timeline</t>
        </is>
      </c>
      <c r="D33" s="42" t="inlineStr">
        <is>
          <t>Confirmed interaction/accessibility gap</t>
        </is>
      </c>
      <c r="E33" s="42" t="inlineStr">
        <is>
          <t>The playhead is rendered as a one-pixel line without a dedicated grab handle or enlarged hit area.</t>
        </is>
      </c>
      <c r="F33" s="42" t="inlineStr">
        <is>
          <t>It can be difficult to locate and manipulate precisely, especially on high-DPI displays or for users with motor impairments.</t>
        </is>
      </c>
      <c r="G33" s="42" t="inlineStr">
        <is>
          <t>Add a visible playhead head/handle, enlarged invisible hit target, keyboard timecode input, and focusable scrub control.</t>
        </is>
      </c>
      <c r="H33" s="42" t="inlineStr">
        <is>
          <t>The playhead is easy to acquire at all zoom levels, can be moved by mouse and keyboard, and never disappears outside the visible timeline without a reveal action.</t>
        </is>
      </c>
      <c r="I33" s="42" t="inlineStr">
        <is>
          <t>User QA plan</t>
        </is>
      </c>
      <c r="J33" s="42" t="inlineStr">
        <is>
          <t>Yes</t>
        </is>
      </c>
      <c r="K33" s="42" t="inlineStr">
        <is>
          <t>UX / Accessibility</t>
        </is>
      </c>
      <c r="L33" s="42" t="inlineStr">
        <is>
          <t>Conditional</t>
        </is>
      </c>
      <c r="M33" s="42" t="inlineStr">
        <is>
          <t>Frontend + UX</t>
        </is>
      </c>
      <c r="N33" s="42" t="inlineStr">
        <is>
          <t>G3 — Workflow efficiency &amp; declutter</t>
        </is>
      </c>
      <c r="O33" s="42" t="str"/>
      <c r="P33" s="42" t="inlineStr">
        <is>
          <t>UAT-PLAY-019</t>
        </is>
      </c>
    </row>
    <row r="34" ht="68" customHeight="1">
      <c r="A34" s="42" t="inlineStr">
        <is>
          <t>SEQ-PLAY-012</t>
        </is>
      </c>
      <c r="B34" s="42" t="inlineStr">
        <is>
          <t>P2</t>
        </is>
      </c>
      <c r="C34" s="42" t="inlineStr">
        <is>
          <t>Sequence / Timeline</t>
        </is>
      </c>
      <c r="D34" s="42" t="inlineStr">
        <is>
          <t>Capability/usability gap</t>
        </is>
      </c>
      <c r="E34" s="42" t="inlineStr">
        <is>
          <t>Timeline zoom provides a basic slider but no fit-to-sequence, fit-selection, cursor-centered zoom, or automatic playhead reveal.</t>
        </is>
      </c>
      <c r="F34" s="42" t="inlineStr">
        <is>
          <t>Users can lose context or repeatedly scroll while reviewing long edits.</t>
        </is>
      </c>
      <c r="G34" s="42" t="inlineStr">
        <is>
          <t>Add fit controls, centered wheel/gesture zoom, playhead follow/reveal policy, and persisted zoom state.</t>
        </is>
      </c>
      <c r="H34" s="42" t="inlineStr">
        <is>
          <t>Zooming preserves the intended anchor, fit controls show the requested range, and playback never leaves the playhead unknowingly off-screen.</t>
        </is>
      </c>
      <c r="I34" s="42" t="inlineStr">
        <is>
          <t>User QA plan</t>
        </is>
      </c>
      <c r="J34" s="42" t="inlineStr">
        <is>
          <t>Yes</t>
        </is>
      </c>
      <c r="K34" s="42" t="inlineStr">
        <is>
          <t>Enhancement</t>
        </is>
      </c>
      <c r="L34" s="42" t="inlineStr">
        <is>
          <t>Conditional</t>
        </is>
      </c>
      <c r="M34" s="42" t="inlineStr">
        <is>
          <t>Frontend</t>
        </is>
      </c>
      <c r="N34" s="42" t="inlineStr">
        <is>
          <t>G3 — Workflow efficiency &amp; declutter</t>
        </is>
      </c>
      <c r="O34" s="42" t="str"/>
      <c r="P34" s="42" t="inlineStr">
        <is>
          <t>UAT-PLAY-019</t>
        </is>
      </c>
    </row>
    <row r="35" ht="68" customHeight="1">
      <c r="A35" s="42" t="inlineStr">
        <is>
          <t>UX-CONTAINER-004</t>
        </is>
      </c>
      <c r="B35" s="42" t="inlineStr">
        <is>
          <t>P2</t>
        </is>
      </c>
      <c r="C35" s="42" t="inlineStr">
        <is>
          <t>Shared Container Stacking</t>
        </is>
      </c>
      <c r="D35" s="42" t="inlineStr">
        <is>
          <t>Cross-cutting interaction risk</t>
        </is>
      </c>
      <c r="E35" s="42" t="inlineStr">
        <is>
          <t>The plan permits drawers, modals, sheets, popovers, context menus, and embedded Comfy content, but no single stacking and ownership policy is defined.</t>
        </is>
      </c>
      <c r="F35" s="42" t="inlineStr">
        <is>
          <t>Nested overlays can appear under the iframe, trap focus incorrectly, or allow background actions.</t>
        </is>
      </c>
      <c r="G35" s="42" t="inlineStr">
        <is>
          <t>Define one overlay manager with z-index tokens, portal ownership, iframe interaction shielding, nested-container rules, and one active modal boundary.</t>
        </is>
      </c>
      <c r="H35" s="42" t="inlineStr">
        <is>
          <t>All container combinations render in the correct order, background content becomes inert when required, and focus never escapes a modal boundary.</t>
        </is>
      </c>
      <c r="I35" s="42" t="inlineStr">
        <is>
          <t>Decluttering pass</t>
        </is>
      </c>
      <c r="J35" s="42" t="inlineStr">
        <is>
          <t>Yes</t>
        </is>
      </c>
      <c r="K35" s="42" t="inlineStr">
        <is>
          <t>Frontend Platform</t>
        </is>
      </c>
      <c r="L35" s="42" t="inlineStr">
        <is>
          <t>Conditional</t>
        </is>
      </c>
      <c r="M35" s="42" t="inlineStr">
        <is>
          <t>Frontend Platform</t>
        </is>
      </c>
      <c r="N35" s="42" t="inlineStr">
        <is>
          <t>G3 — Workflow efficiency &amp; declutter</t>
        </is>
      </c>
      <c r="O35" s="42" t="inlineStr">
        <is>
          <t>UX-CONTAINER-001</t>
        </is>
      </c>
      <c r="P35" s="42" t="inlineStr">
        <is>
          <t>UAT-UX-004</t>
        </is>
      </c>
    </row>
    <row r="36" ht="68" customHeight="1">
      <c r="A36" s="42" t="inlineStr">
        <is>
          <t>UX-CONTAINER-001</t>
        </is>
      </c>
      <c r="B36" s="42" t="inlineStr">
        <is>
          <t>P2</t>
        </is>
      </c>
      <c r="C36" s="42" t="inlineStr">
        <is>
          <t>Shared Drawers / Modals / Sheets / Popovers</t>
        </is>
      </c>
      <c r="D36" s="42" t="inlineStr">
        <is>
          <t>Cross-cutting implementation requirement</t>
        </is>
      </c>
      <c r="E36" s="42" t="inlineStr">
        <is>
          <t>Secondary containers do not yet have one documented accessibility and interaction contract.</t>
        </is>
      </c>
      <c r="F36" s="42" t="inlineStr">
        <is>
          <t>Inconsistent Escape behavior, focus trapping, click-outside dismissal, return focus, dirty-state confirmation, and stacking can create new dead ends while decluttering.</t>
        </is>
      </c>
      <c r="G36" s="42" t="inlineStr">
        <is>
          <t>Create a shared container standard/component layer covering focus entry/return, modal versus non-modal semantics, Escape, outside click, swipe, explicit close, scroll locking, dirty-state prompts, live-region use, and z-index ownership.</t>
        </is>
      </c>
      <c r="H36" s="42" t="inlineStr">
        <is>
          <t>Every drawer/modal/sheet/popover passes keyboard, screen-reader, nested-container, resize, and unsaved-change tests using the same contract.</t>
        </is>
      </c>
      <c r="I36" s="42" t="inlineStr">
        <is>
          <t>Decluttering pass</t>
        </is>
      </c>
      <c r="J36" s="42" t="inlineStr">
        <is>
          <t>Yes</t>
        </is>
      </c>
      <c r="K36" s="42" t="inlineStr">
        <is>
          <t>Design System / Accessibility</t>
        </is>
      </c>
      <c r="L36" s="42" t="inlineStr">
        <is>
          <t>Conditional</t>
        </is>
      </c>
      <c r="M36" s="42" t="inlineStr">
        <is>
          <t>Frontend Platform + UX</t>
        </is>
      </c>
      <c r="N36" s="42" t="inlineStr">
        <is>
          <t>G3 — Workflow efficiency &amp; declutter</t>
        </is>
      </c>
      <c r="O36" s="42" t="str"/>
      <c r="P36" s="42" t="inlineStr">
        <is>
          <t>UAT-UX-004</t>
        </is>
      </c>
    </row>
    <row r="37" ht="68" customHeight="1">
      <c r="A37" s="42" t="inlineStr">
        <is>
          <t>A11Y-012</t>
        </is>
      </c>
      <c r="B37" s="42" t="inlineStr">
        <is>
          <t>P3</t>
        </is>
      </c>
      <c r="C37" s="42" t="inlineStr">
        <is>
          <t>Accessibility / Motion</t>
        </is>
      </c>
      <c r="D37" s="42" t="inlineStr">
        <is>
          <t>Missing preference handling</t>
        </is>
      </c>
      <c r="E37" s="42" t="inlineStr">
        <is>
          <t>Reduced-motion behavior is not defined or tested for playhead effects, panel transitions, coach marks, and micro-interactions.</t>
        </is>
      </c>
      <c r="F37" s="42" t="inlineStr">
        <is>
          <t>Motion-sensitive users can receive unnecessary animation, while disabling motion carelessly could remove state feedback.</t>
        </is>
      </c>
      <c r="G37" s="42" t="inlineStr">
        <is>
          <t>Respect prefers-reduced-motion for nonessential transitions while preserving immediate state changes and playback comprehension.</t>
        </is>
      </c>
      <c r="H37" s="42" t="inlineStr">
        <is>
          <t>Reduced-motion mode removes decorative motion, keeps all information available, and passes the same functional tests.</t>
        </is>
      </c>
      <c r="I37" s="42" t="inlineStr">
        <is>
          <t>User QA plan</t>
        </is>
      </c>
      <c r="J37" s="42" t="inlineStr">
        <is>
          <t>Yes</t>
        </is>
      </c>
      <c r="K37" s="42" t="inlineStr">
        <is>
          <t>Accessibility / Polish</t>
        </is>
      </c>
      <c r="L37" s="42" t="inlineStr">
        <is>
          <t>No</t>
        </is>
      </c>
      <c r="M37" s="42" t="inlineStr">
        <is>
          <t>Frontend + UX</t>
        </is>
      </c>
      <c r="N37" s="42" t="inlineStr">
        <is>
          <t>G4 — Accessibility &amp; release gates</t>
        </is>
      </c>
      <c r="O37" s="42" t="str"/>
      <c r="P37" s="42" t="inlineStr">
        <is>
          <t>UAT-A11Y-007</t>
        </is>
      </c>
    </row>
    <row r="38" ht="68" customHeight="1">
      <c r="A38" s="42" t="inlineStr">
        <is>
          <t>SCOPE-006</t>
        </is>
      </c>
      <c r="B38" s="42" t="inlineStr">
        <is>
          <t>P3</t>
        </is>
      </c>
      <c r="C38" s="42" t="inlineStr">
        <is>
          <t>Product Scope / BlokeyUI Boundary</t>
        </is>
      </c>
      <c r="D38" s="42" t="inlineStr">
        <is>
          <t>Scope clarification</t>
        </is>
      </c>
      <c r="E38" s="42" t="inlineStr">
        <is>
          <t>BlokeyUI implementation details are out of scope, but the released picker still depends on a workflow path inside that local tree.</t>
        </is>
      </c>
      <c r="F38" s="42" t="inlineStr">
        <is>
          <t>Ignoring the dependency contract would leave clean-clone reproducibility unresolved even while respecting the implementation boundary.</t>
        </is>
      </c>
      <c r="G38" s="42" t="inlineStr">
        <is>
          <t>Keep BlokeyUI code/UI out of the audit, but require a tracked workflow manifest or deterministic import contract at the Premiere316 boundary.</t>
        </is>
      </c>
      <c r="H38" s="42" t="inlineStr">
        <is>
          <t>The release can be reproduced without reviewing or modifying private/local BlokeyUI internals.</t>
        </is>
      </c>
      <c r="I38" s="42" t="inlineStr">
        <is>
          <t>Reconciliation scope correction</t>
        </is>
      </c>
      <c r="J38" s="42" t="inlineStr">
        <is>
          <t>Yes</t>
        </is>
      </c>
      <c r="K38" s="42" t="inlineStr">
        <is>
          <t>Scope / Release</t>
        </is>
      </c>
      <c r="L38" s="42" t="inlineStr">
        <is>
          <t>Conditional</t>
        </is>
      </c>
      <c r="M38" s="42" t="inlineStr">
        <is>
          <t>Architecture + Release</t>
        </is>
      </c>
      <c r="N38" s="42" t="inlineStr">
        <is>
          <t>G1 — State truth &amp; silent loss</t>
        </is>
      </c>
      <c r="O38" s="42" t="inlineStr">
        <is>
          <t>COMFY-003</t>
        </is>
      </c>
      <c r="P38" s="42" t="str"/>
    </row>
    <row r="39" ht="68" customHeight="1">
      <c r="A39" s="42" t="inlineStr">
        <is>
          <t>SCOPE-005</t>
        </is>
      </c>
      <c r="B39" s="42" t="inlineStr">
        <is>
          <t>P3</t>
        </is>
      </c>
      <c r="C39" s="42" t="inlineStr">
        <is>
          <t>Product Scope / External Drag UX</t>
        </is>
      </c>
      <c r="D39" s="42" t="inlineStr">
        <is>
          <t>Technical constraint clarification</t>
        </is>
      </c>
      <c r="E39" s="42" t="inlineStr">
        <is>
          <t>The plan asks for a fully controlled drag ghost for folders dragged from Explorer/Finder, but external drag imagery and cursor treatment are substantially controlled by the operating system/browser.</t>
        </is>
      </c>
      <c r="F39" s="42" t="inlineStr">
        <is>
          <t>The team could spend time chasing a visual behavior the web application cannot reliably own.</t>
        </is>
      </c>
      <c r="G39" s="42" t="inlineStr">
        <is>
          <t>Limit acceptance to in-app drop-target feedback, destination preview, valid/invalid cursor where supported, and post-drop reporting; customize drag images only for drags initiated inside the app.</t>
        </is>
      </c>
      <c r="H39" s="42" t="inlineStr">
        <is>
          <t>The spec distinguishes controllable in-app feedback from OS-controlled external drag visuals.</t>
        </is>
      </c>
      <c r="I39" s="42" t="inlineStr">
        <is>
          <t>Reconciliation scope correction</t>
        </is>
      </c>
      <c r="J39" s="42" t="inlineStr">
        <is>
          <t>Decision</t>
        </is>
      </c>
      <c r="K39" s="42" t="inlineStr">
        <is>
          <t>Product / Technical Decision</t>
        </is>
      </c>
      <c r="L39" s="42" t="inlineStr">
        <is>
          <t>No</t>
        </is>
      </c>
      <c r="M39" s="42" t="inlineStr">
        <is>
          <t>Product + Frontend</t>
        </is>
      </c>
      <c r="N39" s="42" t="inlineStr">
        <is>
          <t>Future — Product decisions</t>
        </is>
      </c>
      <c r="O39" s="42" t="str"/>
      <c r="P39" s="42" t="inlineStr">
        <is>
          <t>UAT-DROP-021</t>
        </is>
      </c>
    </row>
    <row r="40" ht="68" customHeight="1">
      <c r="A40" s="42" t="inlineStr">
        <is>
          <t>SCOPE-002</t>
        </is>
      </c>
      <c r="B40" s="42" t="inlineStr">
        <is>
          <t>P3</t>
        </is>
      </c>
      <c r="C40" s="42" t="inlineStr">
        <is>
          <t>Product Scope / Theme</t>
        </is>
      </c>
      <c r="D40" s="42" t="inlineStr">
        <is>
          <t>Decision required</t>
        </is>
      </c>
      <c r="E40" s="42" t="inlineStr">
        <is>
          <t>The plan requires dark/light parity, but the product currently declares a dark color scheme.</t>
        </is>
      </c>
      <c r="F40" s="42" t="inlineStr">
        <is>
          <t>Treating light mode as a current defect would expand the release substantially; ignoring forced colors would still leave an accessibility gap.</t>
        </is>
      </c>
      <c r="G40" s="42" t="inlineStr">
        <is>
          <t>Decide whether light mode is a roadmap feature. Keep forced-colors/high-contrast support in the current accessibility gate regardless.</t>
        </is>
      </c>
      <c r="H40" s="42" t="inlineStr">
        <is>
          <t>Theme scope is documented; current release passes dark and forced-colors requirements, and light mode is either implemented or separately scheduled.</t>
        </is>
      </c>
      <c r="I40" s="42" t="inlineStr">
        <is>
          <t>Reconciliation scope correction</t>
        </is>
      </c>
      <c r="J40" s="42" t="inlineStr">
        <is>
          <t>Decision</t>
        </is>
      </c>
      <c r="K40" s="42" t="inlineStr">
        <is>
          <t>Product Decision</t>
        </is>
      </c>
      <c r="L40" s="42" t="inlineStr">
        <is>
          <t>No</t>
        </is>
      </c>
      <c r="M40" s="42" t="inlineStr">
        <is>
          <t>Product + UX</t>
        </is>
      </c>
      <c r="N40" s="42" t="inlineStr">
        <is>
          <t>Future — Product decisions</t>
        </is>
      </c>
      <c r="O40" s="42" t="inlineStr">
        <is>
          <t>A11Y-013</t>
        </is>
      </c>
      <c r="P40" s="42" t="str"/>
    </row>
    <row r="41" ht="68" customHeight="1">
      <c r="A41" s="42" t="inlineStr">
        <is>
          <t>TAKE-008</t>
        </is>
      </c>
      <c r="B41" s="42" t="inlineStr">
        <is>
          <t>P3</t>
        </is>
      </c>
      <c r="C41" s="42" t="inlineStr">
        <is>
          <t>Sequence / Takes</t>
        </is>
      </c>
      <c r="D41" s="42" t="inlineStr">
        <is>
          <t>Future capability</t>
        </is>
      </c>
      <c r="E41" s="42" t="inlineStr">
        <is>
          <t>Take notes, rating, tags, color labels, and metadata search are not available.</t>
        </is>
      </c>
      <c r="F41" s="42" t="inlineStr">
        <is>
          <t>Reviewers cannot build a lightweight editorial decision record inside the application.</t>
        </is>
      </c>
      <c r="G41" s="42" t="inlineStr">
        <is>
          <t>Add metadata only after the take model is approved, preferably in a non-modal details drawer with searchable fields and minimal card chrome.</t>
        </is>
      </c>
      <c r="H41" s="42" t="inlineStr">
        <is>
          <t>Metadata persists, is searchable, is included in export/diagnostics, and does not obscure the take list.</t>
        </is>
      </c>
      <c r="I41" s="42" t="inlineStr">
        <is>
          <t>User QA plan</t>
        </is>
      </c>
      <c r="J41" s="42" t="inlineStr">
        <is>
          <t>Yes</t>
        </is>
      </c>
      <c r="K41" s="42" t="inlineStr">
        <is>
          <t>Enhancement / UX Redesign</t>
        </is>
      </c>
      <c r="L41" s="42" t="inlineStr">
        <is>
          <t>No</t>
        </is>
      </c>
      <c r="M41" s="42" t="inlineStr">
        <is>
          <t>Product + Frontend</t>
        </is>
      </c>
      <c r="N41" s="42" t="inlineStr">
        <is>
          <t>G3 — Workflow efficiency &amp; declutter</t>
        </is>
      </c>
      <c r="O41" s="42" t="inlineStr">
        <is>
          <t>TAKE-007,UX-DECLUTTER-001</t>
        </is>
      </c>
      <c r="P41" s="42" t="inlineStr">
        <is>
          <t>UAT-TAKE-013</t>
        </is>
      </c>
    </row>
    <row r="42" ht="68" customHeight="1">
      <c r="A42" s="42" t="inlineStr">
        <is>
          <t>SEQ-PLAY-016</t>
        </is>
      </c>
      <c r="B42" s="42" t="inlineStr">
        <is>
          <t>P3</t>
        </is>
      </c>
      <c r="C42" s="42" t="inlineStr">
        <is>
          <t>Sequence / Time Display</t>
        </is>
      </c>
      <c r="D42" s="42" t="inlineStr">
        <is>
          <t>Information-design gap</t>
        </is>
      </c>
      <c r="E42" s="42" t="inlineStr">
        <is>
          <t>The interface does not offer a consolidated current/total/remaining time display or an explicit policy for variable-frame-rate media.</t>
        </is>
      </c>
      <c r="F42" s="42" t="inlineStr">
        <is>
          <t>Reviewers must infer duration from separate regions, and VFR sources can undermine frame-based expectations.</t>
        </is>
      </c>
      <c r="G42" s="42" t="inlineStr">
        <is>
          <t>Consolidate time display options and define a constant-timeline-FPS policy for VFR sources, including normalization/proxy behavior.</t>
        </is>
      </c>
      <c r="H42" s="42" t="inlineStr">
        <is>
          <t>Current, total, and optional remaining values remain consistent after seeks, trims, and source replacement; VFR handling is documented.</t>
        </is>
      </c>
      <c r="I42" s="42" t="inlineStr">
        <is>
          <t>User QA plan</t>
        </is>
      </c>
      <c r="J42" s="42" t="inlineStr">
        <is>
          <t>Yes</t>
        </is>
      </c>
      <c r="K42" s="42" t="inlineStr">
        <is>
          <t>UX / Product Decision</t>
        </is>
      </c>
      <c r="L42" s="42" t="inlineStr">
        <is>
          <t>No</t>
        </is>
      </c>
      <c r="M42" s="42" t="inlineStr">
        <is>
          <t>Product + Media Engine</t>
        </is>
      </c>
      <c r="N42" s="42" t="inlineStr">
        <is>
          <t>Future — Product decisions</t>
        </is>
      </c>
      <c r="O42" s="42" t="str"/>
      <c r="P42" s="42" t="inlineStr">
        <is>
          <t>UAT-PLAY-021</t>
        </is>
      </c>
    </row>
    <row r="43" ht="68" customHeight="1">
      <c r="A43" s="42" t="inlineStr">
        <is>
          <t>SEQ-MARK-001</t>
        </is>
      </c>
      <c r="B43" s="42" t="inlineStr">
        <is>
          <t>P3</t>
        </is>
      </c>
      <c r="C43" s="42" t="inlineStr">
        <is>
          <t>Sequence / Timeline</t>
        </is>
      </c>
      <c r="D43" s="42" t="inlineStr">
        <is>
          <t>Future editing capability</t>
        </is>
      </c>
      <c r="E43" s="42" t="inlineStr">
        <is>
          <t>The sequence editor has no marker, chapter marker, or persistent review-note timeline model.</t>
        </is>
      </c>
      <c r="F43" s="42" t="inlineStr">
        <is>
          <t>Review feedback and repeated navigation must be managed outside the editor.</t>
        </is>
      </c>
      <c r="G43" s="42" t="inlineStr">
        <is>
          <t>Define marker types and add them through a context menu or compact advanced-tools container rather than permanent toolbar chrome.</t>
        </is>
      </c>
      <c r="H43" s="42" t="inlineStr">
        <is>
          <t>Markers can be created, renamed, moved, searched, deleted, undone, and navigated by keyboard without obscuring the main playback surface.</t>
        </is>
      </c>
      <c r="I43" s="42" t="inlineStr">
        <is>
          <t>User QA plan</t>
        </is>
      </c>
      <c r="J43" s="42" t="inlineStr">
        <is>
          <t>Yes</t>
        </is>
      </c>
      <c r="K43" s="42" t="inlineStr">
        <is>
          <t>Enhancement / UX Redesign</t>
        </is>
      </c>
      <c r="L43" s="42" t="inlineStr">
        <is>
          <t>No</t>
        </is>
      </c>
      <c r="M43" s="42" t="inlineStr">
        <is>
          <t>Product + Frontend</t>
        </is>
      </c>
      <c r="N43" s="42" t="inlineStr">
        <is>
          <t>Future — Product decisions</t>
        </is>
      </c>
      <c r="O43" s="42" t="str"/>
      <c r="P43" s="42" t="inlineStr">
        <is>
          <t>UAT-PLAY-020</t>
        </is>
      </c>
    </row>
    <row r="44" ht="68" customHeight="1">
      <c r="A44" s="42" t="inlineStr">
        <is>
          <t>SEQ-PLAY-013</t>
        </is>
      </c>
      <c r="B44" s="42" t="inlineStr">
        <is>
          <t>P3</t>
        </is>
      </c>
      <c r="C44" s="42" t="inlineStr">
        <is>
          <t>Sequence / Transport</t>
        </is>
      </c>
      <c r="D44" s="42" t="inlineStr">
        <is>
          <t>Product/interaction gap</t>
        </is>
      </c>
      <c r="E44" s="42" t="inlineStr">
        <is>
          <t>Transport semantics are limited to play/pause, jump-to-start, and frame-step; there is no explicit Stop state or clearly labeled Restart command.</t>
        </is>
      </c>
      <c r="F44" s="42" t="inlineStr">
        <is>
          <t>Users coming from editing tools may not know whether pause preserves position, whether the start icon restarts, or how to stop all audition audio.</t>
        </is>
      </c>
      <c r="G44" s="42" t="inlineStr">
        <is>
          <t>Define transport semantics and expose accessible labeled Stop/Restart behavior only if it materially differs from Pause/Go to start.</t>
        </is>
      </c>
      <c r="H44" s="42" t="inlineStr">
        <is>
          <t>The transport model is documented, labels match behavior, all media stops deterministically, and no redundant control is added without purpose.</t>
        </is>
      </c>
      <c r="I44" s="42" t="inlineStr">
        <is>
          <t>User QA plan</t>
        </is>
      </c>
      <c r="J44" s="42" t="inlineStr">
        <is>
          <t>Yes</t>
        </is>
      </c>
      <c r="K44" s="42" t="inlineStr">
        <is>
          <t>Product Decision / Enhancement</t>
        </is>
      </c>
      <c r="L44" s="42" t="inlineStr">
        <is>
          <t>No</t>
        </is>
      </c>
      <c r="M44" s="42" t="inlineStr">
        <is>
          <t>Product + UX</t>
        </is>
      </c>
      <c r="N44" s="42" t="inlineStr">
        <is>
          <t>Future — Product decisions</t>
        </is>
      </c>
      <c r="O44" s="42" t="str"/>
      <c r="P44" s="42" t="inlineStr">
        <is>
          <t>UAT-PLAY-016</t>
        </is>
      </c>
    </row>
    <row r="45" ht="68" customHeight="1">
      <c r="A45" s="42" t="inlineStr">
        <is>
          <t>SEQ-PLAY-014</t>
        </is>
      </c>
      <c r="B45" s="42" t="inlineStr">
        <is>
          <t>P3</t>
        </is>
      </c>
      <c r="C45" s="42" t="inlineStr">
        <is>
          <t>Sequence / Transport</t>
        </is>
      </c>
      <c r="D45" s="42" t="inlineStr">
        <is>
          <t>Future capability</t>
        </is>
      </c>
      <c r="E45" s="42" t="inlineStr">
        <is>
          <t>There is no playback-speed control or documented decision to remain fixed at 1×.</t>
        </is>
      </c>
      <c r="F45" s="42" t="inlineStr">
        <is>
          <t>Power users cannot review timing at slow or accelerated rates, but adding speed without pitch/sync policy could create misleading review.</t>
        </is>
      </c>
      <c r="G45" s="42" t="inlineStr">
        <is>
          <t>Decide whether editorial preview supports 0.25×–2×, then implement with pitch policy, keyboard shortcuts, clear state, and persistence.</t>
        </is>
      </c>
      <c r="H45" s="42" t="inlineStr">
        <is>
          <t>Supported speeds keep audio/picture synchronized and the chosen rate is always visible; unsupported rates are absent rather than implied.</t>
        </is>
      </c>
      <c r="I45" s="42" t="inlineStr">
        <is>
          <t>User QA plan</t>
        </is>
      </c>
      <c r="J45" s="42" t="inlineStr">
        <is>
          <t>Yes</t>
        </is>
      </c>
      <c r="K45" s="42" t="inlineStr">
        <is>
          <t>Enhancement / Product Decision</t>
        </is>
      </c>
      <c r="L45" s="42" t="inlineStr">
        <is>
          <t>No</t>
        </is>
      </c>
      <c r="M45" s="42" t="inlineStr">
        <is>
          <t>Product + Media Engine</t>
        </is>
      </c>
      <c r="N45" s="42" t="inlineStr">
        <is>
          <t>Future — Product decisions</t>
        </is>
      </c>
      <c r="O45" s="42" t="str"/>
      <c r="P45" s="42" t="inlineStr">
        <is>
          <t>UAT-PLAY-017</t>
        </is>
      </c>
    </row>
    <row r="46" ht="68" customHeight="1">
      <c r="A46" s="42" t="inlineStr">
        <is>
          <t>SEQ-PLAY-015</t>
        </is>
      </c>
      <c r="B46" s="42" t="inlineStr">
        <is>
          <t>P3</t>
        </is>
      </c>
      <c r="C46" s="42" t="inlineStr">
        <is>
          <t>Sequence / Transport</t>
        </is>
      </c>
      <c r="D46" s="42" t="inlineStr">
        <is>
          <t>Future capability</t>
        </is>
      </c>
      <c r="E46" s="42" t="inlineStr">
        <is>
          <t>There is no loop mode for the sequence, selected clip, or marked range.</t>
        </is>
      </c>
      <c r="F46" s="42" t="inlineStr">
        <is>
          <t>Repeated review requires manual repositioning and makes take comparison slower.</t>
        </is>
      </c>
      <c r="G46" s="42" t="inlineStr">
        <is>
          <t>Add only the approved loop modes behind an advanced-transport popover, with a persistent visible loop state and keyboard shortcut.</t>
        </is>
      </c>
      <c r="H46" s="42" t="inlineStr">
        <is>
          <t>Loop boundaries are sample/frame accurate within the preview tolerance and leaving loop mode is obvious.</t>
        </is>
      </c>
      <c r="I46" s="42" t="inlineStr">
        <is>
          <t>User QA plan</t>
        </is>
      </c>
      <c r="J46" s="42" t="inlineStr">
        <is>
          <t>Yes</t>
        </is>
      </c>
      <c r="K46" s="42" t="inlineStr">
        <is>
          <t>Enhancement</t>
        </is>
      </c>
      <c r="L46" s="42" t="inlineStr">
        <is>
          <t>No</t>
        </is>
      </c>
      <c r="M46" s="42" t="inlineStr">
        <is>
          <t>Frontend + Media Engine</t>
        </is>
      </c>
      <c r="N46" s="42" t="inlineStr">
        <is>
          <t>G3 — Workflow efficiency &amp; declutter</t>
        </is>
      </c>
      <c r="O46" s="42" t="str"/>
      <c r="P46" s="42" t="inlineStr">
        <is>
          <t>UAT-PLAY-018</t>
        </is>
      </c>
    </row>
    <row r="47" ht="68" customHeight="1">
      <c r="A47" s="42" t="inlineStr">
        <is>
          <t>UX-CONTAINER-002</t>
        </is>
      </c>
      <c r="B47" s="42" t="inlineStr">
        <is>
          <t>P3</t>
        </is>
      </c>
      <c r="C47" s="42" t="inlineStr">
        <is>
          <t>Shared First-use Guidance</t>
        </is>
      </c>
      <c r="D47" s="42" t="inlineStr">
        <is>
          <t>UX polish requirement</t>
        </is>
      </c>
      <c r="E47" s="42" t="inlineStr">
        <is>
          <t>First-use guidance can become recurring permanent noise unless completion is remembered.</t>
        </is>
      </c>
      <c r="F47" s="42" t="inlineStr">
        <is>
          <t>Repeated coach marks or instructional modals frustrate experienced users and obscure production work.</t>
        </is>
      </c>
      <c r="G47" s="42" t="inlineStr">
        <is>
          <t>Use one-time, dismissible coach marks tied to successful task completion, with a Help entry to replay them deliberately.</t>
        </is>
      </c>
      <c r="H47" s="42" t="inlineStr">
        <is>
          <t>After the first successful use, guidance does not reappear automatically for that user/project version; Reset help restores it.</t>
        </is>
      </c>
      <c r="I47" s="42" t="inlineStr">
        <is>
          <t>Decluttering pass</t>
        </is>
      </c>
      <c r="J47" s="42" t="inlineStr">
        <is>
          <t>Yes</t>
        </is>
      </c>
      <c r="K47" s="42" t="inlineStr">
        <is>
          <t>UX Polish</t>
        </is>
      </c>
      <c r="L47" s="42" t="inlineStr">
        <is>
          <t>No</t>
        </is>
      </c>
      <c r="M47" s="42" t="inlineStr">
        <is>
          <t>Frontend + UX</t>
        </is>
      </c>
      <c r="N47" s="42" t="inlineStr">
        <is>
          <t>G3 — Workflow efficiency &amp; declutter</t>
        </is>
      </c>
      <c r="O47" s="42" t="inlineStr">
        <is>
          <t>UX-CONTAINER-001</t>
        </is>
      </c>
      <c r="P47" s="42" t="inlineStr">
        <is>
          <t>UAT-UX-005</t>
        </is>
      </c>
    </row>
    <row r="48" ht="68" customHeight="1">
      <c r="A48" s="42" t="inlineStr">
        <is>
          <t>QA-004</t>
        </is>
      </c>
      <c r="B48" s="42" t="inlineStr">
        <is>
          <t>P3</t>
        </is>
      </c>
      <c r="C48" s="42" t="inlineStr">
        <is>
          <t>UX Quality Process</t>
        </is>
      </c>
      <c r="D48" s="42" t="inlineStr">
        <is>
          <t>Missing formal review artifact</t>
        </is>
      </c>
      <c r="E48" s="42" t="inlineStr">
        <is>
          <t>The plan calls for all ten Nielsen heuristics, but the prior deliverables did not include a feature-by-heuristic scoring sheet.</t>
        </is>
      </c>
      <c r="F48" s="42" t="inlineStr">
        <is>
          <t>Heuristic findings can be discussed inconsistently and are difficult to compare across iterations.</t>
        </is>
      </c>
      <c r="G48" s="42" t="inlineStr">
        <is>
          <t>Run and record a 0–4 heuristic score for Sequence, Folder Drop, and Comfy Picker with evidence, linked tasks, owner, and re-review date.</t>
        </is>
      </c>
      <c r="H48" s="42" t="inlineStr">
        <is>
          <t>All 30 feature/heuristic cells have evidence and remediation links; scores improve or receive an approved exception.</t>
        </is>
      </c>
      <c r="I48" s="42" t="inlineStr">
        <is>
          <t>User QA plan</t>
        </is>
      </c>
      <c r="J48" s="42" t="inlineStr">
        <is>
          <t>Yes</t>
        </is>
      </c>
      <c r="K48" s="42" t="inlineStr">
        <is>
          <t>UX QA</t>
        </is>
      </c>
      <c r="L48" s="42" t="inlineStr">
        <is>
          <t>No</t>
        </is>
      </c>
      <c r="M48" s="42" t="inlineStr">
        <is>
          <t>UX Research / QA</t>
        </is>
      </c>
      <c r="N48" s="42" t="inlineStr">
        <is>
          <t>G4 — Accessibility &amp; release gates</t>
        </is>
      </c>
      <c r="O48" s="42" t="str"/>
      <c r="P48" s="42" t="inlineStr">
        <is>
          <t>UAT-HEUR-001</t>
        </is>
      </c>
    </row>
  </sheetData>
  <mergeCells count="2">
    <mergeCell ref="A1:P1"/>
    <mergeCell ref="A2:P2"/>
  </mergeCells>
  <conditionalFormatting sqref="B5:B48">
    <cfRule type="expression" priority="1" dxfId="0">
      <formula>B5="P1"</formula>
    </cfRule>
    <cfRule type="expression" priority="2" dxfId="1">
      <formula>B5="P2"</formula>
    </cfRule>
    <cfRule type="expression" priority="3" dxfId="2">
      <formula>B5="P3"</formula>
    </cfRule>
  </conditionalFormatting>
  <dataValidations count="2">
    <dataValidation sqref="B5:B48" showDropDown="0" showInputMessage="0" showErrorMessage="0" allowBlank="0" type="list">
      <formula1>"P1,P2,P3"</formula1>
    </dataValidation>
    <dataValidation sqref="L5:L48" showDropDown="0" showInputMessage="0" showErrorMessage="0" allowBlank="0" type="list">
      <formula1>"Yes,Conditional,No"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132"/>
  <sheetViews>
    <sheetView workbookViewId="0">
      <selection activeCell="A1" sqref="A1"/>
    </sheetView>
  </sheetViews>
  <sheetFormatPr baseColWidth="8" defaultRowHeight="15"/>
  <cols>
    <col width="17" customWidth="1" min="1" max="1"/>
    <col width="22" customWidth="1" min="2" max="2"/>
    <col width="9" customWidth="1" min="3" max="3"/>
    <col width="18" customWidth="1" min="4" max="4"/>
    <col width="22" customWidth="1" min="5" max="5"/>
    <col width="34" customWidth="1" min="6" max="6"/>
    <col width="42" customWidth="1" min="7" max="7"/>
    <col width="44" customWidth="1" min="8" max="8"/>
    <col width="48" customWidth="1" min="9" max="9"/>
    <col width="35" customWidth="1" min="10" max="10"/>
    <col width="16" customWidth="1" min="11" max="11"/>
    <col width="24" customWidth="1" min="12" max="12"/>
    <col width="16" customWidth="1" min="13" max="13"/>
    <col width="32" customWidth="1" min="14" max="14"/>
  </cols>
  <sheetData>
    <row r="1" ht="30" customHeight="1">
      <c r="A1" s="23" t="inlineStr">
        <is>
          <t>UI/UX UAT and Regression Matrix</t>
        </is>
      </c>
      <c r="B1" s="1" t="n"/>
      <c r="C1" s="1" t="n"/>
      <c r="D1" s="1" t="n"/>
      <c r="E1" s="1" t="n"/>
      <c r="F1" s="1" t="n"/>
      <c r="G1" s="1" t="n"/>
      <c r="H1" s="1" t="n"/>
      <c r="I1" s="1" t="n"/>
      <c r="J1" s="1" t="n"/>
      <c r="K1" s="1" t="n"/>
      <c r="L1" s="1" t="n"/>
      <c r="M1" s="1" t="n"/>
      <c r="N1" s="1" t="n"/>
    </row>
    <row r="2" ht="28" customHeight="1">
      <c r="A2" s="31" t="inlineStr">
        <is>
          <t>128 executable cases. The 88 original cases are preserved and 40 additional cases cover the new gaps, scope decisions, decluttering containers, 400% zoom, reduced motion, content validation, and durable imports.</t>
        </is>
      </c>
      <c r="B2" s="1" t="n"/>
      <c r="C2" s="1" t="n"/>
      <c r="D2" s="1" t="n"/>
      <c r="E2" s="1" t="n"/>
      <c r="F2" s="1" t="n"/>
      <c r="G2" s="1" t="n"/>
      <c r="H2" s="1" t="n"/>
      <c r="I2" s="1" t="n"/>
      <c r="J2" s="1" t="n"/>
      <c r="K2" s="1" t="n"/>
      <c r="L2" s="1" t="n"/>
      <c r="M2" s="1" t="n"/>
      <c r="N2" s="1" t="n"/>
    </row>
    <row r="4" ht="34" customHeight="1">
      <c r="A4" s="35" t="inlineStr">
        <is>
          <t>Case ID</t>
        </is>
      </c>
      <c r="B4" s="35" t="inlineStr">
        <is>
          <t>Area</t>
        </is>
      </c>
      <c r="C4" s="35" t="inlineStr">
        <is>
          <t>Priority</t>
        </is>
      </c>
      <c r="D4" s="35" t="inlineStr">
        <is>
          <t>Requirement Type</t>
        </is>
      </c>
      <c r="E4" s="35" t="inlineStr">
        <is>
          <t>Applies</t>
        </is>
      </c>
      <c r="F4" s="35" t="inlineStr">
        <is>
          <t>Scenario</t>
        </is>
      </c>
      <c r="G4" s="35" t="inlineStr">
        <is>
          <t>Preconditions</t>
        </is>
      </c>
      <c r="H4" s="35" t="inlineStr">
        <is>
          <t>Steps</t>
        </is>
      </c>
      <c r="I4" s="35" t="inlineStr">
        <is>
          <t>Expected Result</t>
        </is>
      </c>
      <c r="J4" s="35" t="inlineStr">
        <is>
          <t>Evidence to Capture</t>
        </is>
      </c>
      <c r="K4" s="35" t="inlineStr">
        <is>
          <t>Automation Candidate</t>
        </is>
      </c>
      <c r="L4" s="35" t="inlineStr">
        <is>
          <t>Owner</t>
        </is>
      </c>
      <c r="M4" s="35" t="inlineStr">
        <is>
          <t>Status</t>
        </is>
      </c>
      <c r="N4" s="35" t="inlineStr">
        <is>
          <t>Notes</t>
        </is>
      </c>
    </row>
    <row r="5" ht="60" customHeight="1">
      <c r="A5" s="42" t="inlineStr">
        <is>
          <t>UAT-A11Y-001</t>
        </is>
      </c>
      <c r="B5" s="42" t="inlineStr">
        <is>
          <t>Accessibility</t>
        </is>
      </c>
      <c r="C5" s="42" t="inlineStr">
        <is>
          <t>P1</t>
        </is>
      </c>
      <c r="D5" s="42" t="inlineStr">
        <is>
          <t>Accessibility</t>
        </is>
      </c>
      <c r="E5" s="42" t="inlineStr">
        <is>
          <t>Current 17234f7 repair</t>
        </is>
      </c>
      <c r="F5" s="42" t="inlineStr">
        <is>
          <t>Keyboard-only full path</t>
        </is>
      </c>
      <c r="G5" s="42" t="inlineStr">
        <is>
          <t>No mouse</t>
        </is>
      </c>
      <c r="H5" s="42" t="inlineStr">
        <is>
          <t>Import, select take, replace, play, load workflow</t>
        </is>
      </c>
      <c r="I5" s="42" t="inlineStr">
        <is>
          <t>Every primary workflow completes with visible focus</t>
        </is>
      </c>
      <c r="J5" s="42" t="inlineStr">
        <is>
          <t>Screen recording</t>
        </is>
      </c>
      <c r="K5" s="42" t="inlineStr">
        <is>
          <t>Partial</t>
        </is>
      </c>
      <c r="L5" s="42" t="inlineStr">
        <is>
          <t>Accessibility QA + QA Automation</t>
        </is>
      </c>
      <c r="M5" s="42" t="inlineStr">
        <is>
          <t>Not Executed</t>
        </is>
      </c>
      <c r="N5" s="42" t="str"/>
    </row>
    <row r="6" ht="60" customHeight="1">
      <c r="A6" s="42" t="inlineStr">
        <is>
          <t>UAT-COMFY-001</t>
        </is>
      </c>
      <c r="B6" s="42" t="inlineStr">
        <is>
          <t>Comfy Picker</t>
        </is>
      </c>
      <c r="C6" s="42" t="inlineStr">
        <is>
          <t>P1</t>
        </is>
      </c>
      <c r="D6" s="42" t="inlineStr">
        <is>
          <t>Behavioral</t>
        </is>
      </c>
      <c r="E6" s="42" t="inlineStr">
        <is>
          <t>Current 17234f7 repair</t>
        </is>
      </c>
      <c r="F6" s="42" t="inlineStr">
        <is>
          <t>Initial selection truth</t>
        </is>
      </c>
      <c r="G6" s="42" t="inlineStr">
        <is>
          <t>Open workspace with pre-existing canvas</t>
        </is>
      </c>
      <c r="H6" s="42" t="inlineStr">
        <is>
          <t>Observe picker/canvas before interaction</t>
        </is>
      </c>
      <c r="I6" s="42" t="inlineStr">
        <is>
          <t>UI clearly says not loaded or canvas matches selected workflow</t>
        </is>
      </c>
      <c r="J6" s="42" t="inlineStr">
        <is>
          <t>Screenshot and graph hash</t>
        </is>
      </c>
      <c r="K6" s="42" t="inlineStr">
        <is>
          <t>Yes</t>
        </is>
      </c>
      <c r="L6" s="42" t="inlineStr">
        <is>
          <t>QA Automation</t>
        </is>
      </c>
      <c r="M6" s="42" t="inlineStr">
        <is>
          <t>Not Executed</t>
        </is>
      </c>
      <c r="N6" s="42" t="str"/>
    </row>
    <row r="7" ht="60" customHeight="1">
      <c r="A7" s="42" t="inlineStr">
        <is>
          <t>UAT-COMFY-002</t>
        </is>
      </c>
      <c r="B7" s="42" t="inlineStr">
        <is>
          <t>Comfy Picker</t>
        </is>
      </c>
      <c r="C7" s="42" t="inlineStr">
        <is>
          <t>P1</t>
        </is>
      </c>
      <c r="D7" s="42" t="inlineStr">
        <is>
          <t>Behavioral</t>
        </is>
      </c>
      <c r="E7" s="42" t="inlineStr">
        <is>
          <t>Current 17234f7 repair</t>
        </is>
      </c>
      <c r="F7" s="42" t="inlineStr">
        <is>
          <t>ACK-backed load</t>
        </is>
      </c>
      <c r="G7" s="42" t="inlineStr">
        <is>
          <t>Select known graph</t>
        </is>
      </c>
      <c r="H7" s="42" t="inlineStr">
        <is>
          <t>Load workflow</t>
        </is>
      </c>
      <c r="I7" s="42" t="inlineStr">
        <is>
          <t>Success only after iframe ACK with matching ID/hash</t>
        </is>
      </c>
      <c r="J7" s="42" t="inlineStr">
        <is>
          <t>Bridge log</t>
        </is>
      </c>
      <c r="K7" s="42" t="inlineStr">
        <is>
          <t>Yes</t>
        </is>
      </c>
      <c r="L7" s="42" t="inlineStr">
        <is>
          <t>QA Automation</t>
        </is>
      </c>
      <c r="M7" s="42" t="inlineStr">
        <is>
          <t>Not Executed</t>
        </is>
      </c>
      <c r="N7" s="42" t="str"/>
    </row>
    <row r="8" ht="60" customHeight="1">
      <c r="A8" s="42" t="inlineStr">
        <is>
          <t>UAT-COMFY-003</t>
        </is>
      </c>
      <c r="B8" s="42" t="inlineStr">
        <is>
          <t>Comfy Picker</t>
        </is>
      </c>
      <c r="C8" s="42" t="inlineStr">
        <is>
          <t>P1</t>
        </is>
      </c>
      <c r="D8" s="42" t="inlineStr">
        <is>
          <t>Behavioral</t>
        </is>
      </c>
      <c r="E8" s="42" t="inlineStr">
        <is>
          <t>Current 17234f7 repair</t>
        </is>
      </c>
      <c r="F8" s="42" t="inlineStr">
        <is>
          <t>Rapid selection race</t>
        </is>
      </c>
      <c r="G8" s="42" t="inlineStr">
        <is>
          <t>Throttle graph endpoint</t>
        </is>
      </c>
      <c r="H8" s="42" t="inlineStr">
        <is>
          <t>Select A→B→C rapidly</t>
        </is>
      </c>
      <c r="I8" s="42" t="inlineStr">
        <is>
          <t>Only C loads and is reported</t>
        </is>
      </c>
      <c r="J8" s="42" t="inlineStr">
        <is>
          <t>Network/bridge log</t>
        </is>
      </c>
      <c r="K8" s="42" t="inlineStr">
        <is>
          <t>Yes</t>
        </is>
      </c>
      <c r="L8" s="42" t="inlineStr">
        <is>
          <t>QA Automation</t>
        </is>
      </c>
      <c r="M8" s="42" t="inlineStr">
        <is>
          <t>Not Executed</t>
        </is>
      </c>
      <c r="N8" s="42" t="str"/>
    </row>
    <row r="9" ht="60" customHeight="1">
      <c r="A9" s="42" t="inlineStr">
        <is>
          <t>UAT-COMFY-004</t>
        </is>
      </c>
      <c r="B9" s="42" t="inlineStr">
        <is>
          <t>Comfy Picker</t>
        </is>
      </c>
      <c r="C9" s="42" t="inlineStr">
        <is>
          <t>P1</t>
        </is>
      </c>
      <c r="D9" s="42" t="inlineStr">
        <is>
          <t>Behavioral</t>
        </is>
      </c>
      <c r="E9" s="42" t="inlineStr">
        <is>
          <t>Current 17234f7 repair</t>
        </is>
      </c>
      <c r="F9" s="42" t="inlineStr">
        <is>
          <t>Unsaved graph protection</t>
        </is>
      </c>
      <c r="G9" s="42" t="inlineStr">
        <is>
          <t>Modify graph in canvas</t>
        </is>
      </c>
      <c r="H9" s="42" t="inlineStr">
        <is>
          <t>Select another workflow</t>
        </is>
      </c>
      <c r="I9" s="42" t="inlineStr">
        <is>
          <t>Save/discard/cancel decision appears</t>
        </is>
      </c>
      <c r="J9" s="42" t="inlineStr">
        <is>
          <t>Screen recording</t>
        </is>
      </c>
      <c r="K9" s="42" t="inlineStr">
        <is>
          <t>Yes</t>
        </is>
      </c>
      <c r="L9" s="42" t="inlineStr">
        <is>
          <t>QA Automation</t>
        </is>
      </c>
      <c r="M9" s="42" t="inlineStr">
        <is>
          <t>Not Executed</t>
        </is>
      </c>
      <c r="N9" s="42" t="str"/>
    </row>
    <row r="10" ht="60" customHeight="1">
      <c r="A10" s="42" t="inlineStr">
        <is>
          <t>UAT-COMFY-005</t>
        </is>
      </c>
      <c r="B10" s="42" t="inlineStr">
        <is>
          <t>Comfy Picker</t>
        </is>
      </c>
      <c r="C10" s="42" t="inlineStr">
        <is>
          <t>P1</t>
        </is>
      </c>
      <c r="D10" s="42" t="inlineStr">
        <is>
          <t>Behavioral</t>
        </is>
      </c>
      <c r="E10" s="42" t="inlineStr">
        <is>
          <t>Current 17234f7 repair</t>
        </is>
      </c>
      <c r="F10" s="42" t="inlineStr">
        <is>
          <t>Clean recursive clone</t>
        </is>
      </c>
      <c r="G10" s="42" t="inlineStr">
        <is>
          <t>Fresh machine with recursive submodules only</t>
        </is>
      </c>
      <c r="H10" s="42" t="inlineStr">
        <is>
          <t>Launch picker</t>
        </is>
      </c>
      <c r="I10" s="42" t="inlineStr">
        <is>
          <t>Deterministic packaged inventory or actionable setup block</t>
        </is>
      </c>
      <c r="J10" s="42" t="inlineStr">
        <is>
          <t>Inventory/hash export</t>
        </is>
      </c>
      <c r="K10" s="42" t="inlineStr">
        <is>
          <t>Yes</t>
        </is>
      </c>
      <c r="L10" s="42" t="inlineStr">
        <is>
          <t>QA Automation</t>
        </is>
      </c>
      <c r="M10" s="42" t="inlineStr">
        <is>
          <t>Not Executed</t>
        </is>
      </c>
      <c r="N10" s="42" t="str"/>
    </row>
    <row r="11" ht="60" customHeight="1">
      <c r="A11" s="42" t="inlineStr">
        <is>
          <t>UAT-DROP-001</t>
        </is>
      </c>
      <c r="B11" s="42" t="inlineStr">
        <is>
          <t>Folder Drop</t>
        </is>
      </c>
      <c r="C11" s="42" t="inlineStr">
        <is>
          <t>P1</t>
        </is>
      </c>
      <c r="D11" s="42" t="inlineStr">
        <is>
          <t>Behavioral</t>
        </is>
      </c>
      <c r="E11" s="42" t="inlineStr">
        <is>
          <t>Current 17234f7 repair</t>
        </is>
      </c>
      <c r="F11" s="42" t="inlineStr">
        <is>
          <t>Mixed valid/invalid folder</t>
        </is>
      </c>
      <c r="G11" s="42" t="inlineStr">
        <is>
          <t>MP4, WAV, AVI, PNG, corrupt file, oversized file</t>
        </is>
      </c>
      <c r="H11" s="42" t="inlineStr">
        <is>
          <t>Drop folder</t>
        </is>
      </c>
      <c r="I11" s="42" t="inlineStr">
        <is>
          <t>Totals add to scanned count; every reject/failure has reason</t>
        </is>
      </c>
      <c r="J11" s="42" t="inlineStr">
        <is>
          <t>Import report</t>
        </is>
      </c>
      <c r="K11" s="42" t="inlineStr">
        <is>
          <t>Partial</t>
        </is>
      </c>
      <c r="L11" s="42" t="inlineStr">
        <is>
          <t>QA Automation</t>
        </is>
      </c>
      <c r="M11" s="42" t="inlineStr">
        <is>
          <t>Not Executed</t>
        </is>
      </c>
      <c r="N11" s="42" t="str"/>
    </row>
    <row r="12" ht="60" customHeight="1">
      <c r="A12" s="42" t="inlineStr">
        <is>
          <t>UAT-DROP-002</t>
        </is>
      </c>
      <c r="B12" s="42" t="inlineStr">
        <is>
          <t>Folder Drop</t>
        </is>
      </c>
      <c r="C12" s="42" t="inlineStr">
        <is>
          <t>P1</t>
        </is>
      </c>
      <c r="D12" s="42" t="inlineStr">
        <is>
          <t>Behavioral</t>
        </is>
      </c>
      <c r="E12" s="42" t="inlineStr">
        <is>
          <t>Current 17234f7 repair</t>
        </is>
      </c>
      <c r="F12" s="42" t="inlineStr">
        <is>
          <t>All failures</t>
        </is>
      </c>
      <c r="G12" s="42" t="inlineStr">
        <is>
          <t>Folder of unsupported/oversized/corrupt files</t>
        </is>
      </c>
      <c r="H12" s="42" t="inlineStr">
        <is>
          <t>Drop folder</t>
        </is>
      </c>
      <c r="I12" s="42" t="inlineStr">
        <is>
          <t>No success-style ambiguity; failure list and retry shown</t>
        </is>
      </c>
      <c r="J12" s="42" t="inlineStr">
        <is>
          <t>Screenshot</t>
        </is>
      </c>
      <c r="K12" s="42" t="inlineStr">
        <is>
          <t>Partial</t>
        </is>
      </c>
      <c r="L12" s="42" t="inlineStr">
        <is>
          <t>QA Automation</t>
        </is>
      </c>
      <c r="M12" s="42" t="inlineStr">
        <is>
          <t>Not Executed</t>
        </is>
      </c>
      <c r="N12" s="42" t="str"/>
    </row>
    <row r="13" ht="60" customHeight="1">
      <c r="A13" s="42" t="inlineStr">
        <is>
          <t>UAT-DROP-003</t>
        </is>
      </c>
      <c r="B13" s="42" t="inlineStr">
        <is>
          <t>Folder Drop</t>
        </is>
      </c>
      <c r="C13" s="42" t="inlineStr">
        <is>
          <t>P1</t>
        </is>
      </c>
      <c r="D13" s="42" t="inlineStr">
        <is>
          <t>Behavioral</t>
        </is>
      </c>
      <c r="E13" s="42" t="inlineStr">
        <is>
          <t>Current 17234f7 repair</t>
        </is>
      </c>
      <c r="F13" s="42" t="inlineStr">
        <is>
          <t>Large file memory safety</t>
        </is>
      </c>
      <c r="G13" s="42" t="inlineStr">
        <is>
          <t>Near-limit 4K media</t>
        </is>
      </c>
      <c r="H13" s="42" t="inlineStr">
        <is>
          <t>Import while monitoring process</t>
        </is>
      </c>
      <c r="I13" s="42" t="inlineStr">
        <is>
          <t>Streaming behavior; no full-file memory spike or UI freeze</t>
        </is>
      </c>
      <c r="J13" s="42" t="inlineStr">
        <is>
          <t>Memory/event-loop trace</t>
        </is>
      </c>
      <c r="K13" s="42" t="inlineStr">
        <is>
          <t>Partial</t>
        </is>
      </c>
      <c r="L13" s="42" t="inlineStr">
        <is>
          <t>QA Automation</t>
        </is>
      </c>
      <c r="M13" s="42" t="inlineStr">
        <is>
          <t>Not Executed</t>
        </is>
      </c>
      <c r="N13" s="42" t="str"/>
    </row>
    <row r="14" ht="60" customHeight="1">
      <c r="A14" s="42" t="inlineStr">
        <is>
          <t>UAT-DROP-004</t>
        </is>
      </c>
      <c r="B14" s="42" t="inlineStr">
        <is>
          <t>Folder Drop</t>
        </is>
      </c>
      <c r="C14" s="42" t="inlineStr">
        <is>
          <t>P1</t>
        </is>
      </c>
      <c r="D14" s="42" t="inlineStr">
        <is>
          <t>Behavioral</t>
        </is>
      </c>
      <c r="E14" s="42" t="inlineStr">
        <is>
          <t>Current 17234f7 repair</t>
        </is>
      </c>
      <c r="F14" s="42" t="inlineStr">
        <is>
          <t>Client/server type parity</t>
        </is>
      </c>
      <c r="G14" s="42" t="inlineStr">
        <is>
          <t>One fixture per advertised extension</t>
        </is>
      </c>
      <c r="H14" s="42" t="inlineStr">
        <is>
          <t>Drop each</t>
        </is>
      </c>
      <c r="I14" s="42" t="inlineStr">
        <is>
          <t>Every extension has deterministic end-to-end result</t>
        </is>
      </c>
      <c r="J14" s="42" t="inlineStr">
        <is>
          <t>Result table</t>
        </is>
      </c>
      <c r="K14" s="42" t="inlineStr">
        <is>
          <t>Partial</t>
        </is>
      </c>
      <c r="L14" s="42" t="inlineStr">
        <is>
          <t>QA Automation</t>
        </is>
      </c>
      <c r="M14" s="42" t="inlineStr">
        <is>
          <t>Not Executed</t>
        </is>
      </c>
      <c r="N14" s="42" t="str"/>
    </row>
    <row r="15" ht="60" customHeight="1">
      <c r="A15" s="42" t="inlineStr">
        <is>
          <t>UAT-DROP-022</t>
        </is>
      </c>
      <c r="B15" s="42" t="inlineStr">
        <is>
          <t>Folder Drop</t>
        </is>
      </c>
      <c r="C15" s="42" t="inlineStr">
        <is>
          <t>P1</t>
        </is>
      </c>
      <c r="D15" s="42" t="inlineStr">
        <is>
          <t>Behavioral</t>
        </is>
      </c>
      <c r="E15" s="42" t="inlineStr">
        <is>
          <t>Current / decision-dependent</t>
        </is>
      </c>
      <c r="F15" s="42" t="inlineStr">
        <is>
          <t>Directory traversal rejection</t>
        </is>
      </c>
      <c r="G15" s="42" t="inlineStr">
        <is>
          <t>Mock reader rejection or unreadable nested folder</t>
        </is>
      </c>
      <c r="H15" s="42" t="inlineStr">
        <is>
          <t>Drop folder and force traversal failure</t>
        </is>
      </c>
      <c r="I15" s="42" t="inlineStr">
        <is>
          <t>Visible failed job with exact reason and retry/fallback; no unhandled rejection</t>
        </is>
      </c>
      <c r="J15" s="42" t="inlineStr">
        <is>
          <t>Console, network log, screenshot</t>
        </is>
      </c>
      <c r="K15" s="42" t="inlineStr">
        <is>
          <t>Yes</t>
        </is>
      </c>
      <c r="L15" s="42" t="inlineStr">
        <is>
          <t>QA Automation</t>
        </is>
      </c>
      <c r="M15" s="42" t="inlineStr">
        <is>
          <t>Not Executed</t>
        </is>
      </c>
      <c r="N15" s="42" t="str"/>
    </row>
    <row r="16" ht="60" customHeight="1">
      <c r="A16" s="42" t="inlineStr">
        <is>
          <t>UAT-PLAY-001</t>
        </is>
      </c>
      <c r="B16" s="42" t="inlineStr">
        <is>
          <t>Playback</t>
        </is>
      </c>
      <c r="C16" s="42" t="inlineStr">
        <is>
          <t>P1</t>
        </is>
      </c>
      <c r="D16" s="42" t="inlineStr">
        <is>
          <t>Behavioral</t>
        </is>
      </c>
      <c r="E16" s="42" t="inlineStr">
        <is>
          <t>Current 17234f7 repair</t>
        </is>
      </c>
      <c r="F16" s="42" t="inlineStr">
        <is>
          <t>Two-clip seamless cut</t>
        </is>
      </c>
      <c r="G16" s="42" t="inlineStr">
        <is>
          <t>Two 4K clips with different codecs/resolutions</t>
        </is>
      </c>
      <c r="H16" s="42" t="inlineStr">
        <is>
          <t>Place clips consecutively; play through cut three times</t>
        </is>
      </c>
      <c r="I16" s="42" t="inlineStr">
        <is>
          <t>No black/stale frame, no stall, correct frame at seam</t>
        </is>
      </c>
      <c r="J16" s="42" t="inlineStr">
        <is>
          <t>60 fps screen recording, console, media events</t>
        </is>
      </c>
      <c r="K16" s="42" t="inlineStr">
        <is>
          <t>Partial</t>
        </is>
      </c>
      <c r="L16" s="42" t="inlineStr">
        <is>
          <t>QA Automation</t>
        </is>
      </c>
      <c r="M16" s="42" t="inlineStr">
        <is>
          <t>Not Executed</t>
        </is>
      </c>
      <c r="N16" s="42" t="str"/>
    </row>
    <row r="17" ht="60" customHeight="1">
      <c r="A17" s="42" t="inlineStr">
        <is>
          <t>UAT-PLAY-002</t>
        </is>
      </c>
      <c r="B17" s="42" t="inlineStr">
        <is>
          <t>Playback</t>
        </is>
      </c>
      <c r="C17" s="42" t="inlineStr">
        <is>
          <t>P1</t>
        </is>
      </c>
      <c r="D17" s="42" t="inlineStr">
        <is>
          <t>Behavioral</t>
        </is>
      </c>
      <c r="E17" s="42" t="inlineStr">
        <is>
          <t>Current 17234f7 repair</t>
        </is>
      </c>
      <c r="F17" s="42" t="inlineStr">
        <is>
          <t>Buffering freezes transport</t>
        </is>
      </c>
      <c r="G17" s="42" t="inlineStr">
        <is>
          <t>Throttle source/disk or use deliberately slow source</t>
        </is>
      </c>
      <c r="H17" s="42" t="inlineStr">
        <is>
          <t>Play; induce waiting for 2 seconds</t>
        </is>
      </c>
      <c r="I17" s="42" t="inlineStr">
        <is>
          <t>Playhead/audio pause with visible buffering; resume in sync</t>
        </is>
      </c>
      <c r="J17" s="42" t="inlineStr">
        <is>
          <t>Timestamped media-event log and screen recording</t>
        </is>
      </c>
      <c r="K17" s="42" t="inlineStr">
        <is>
          <t>Partial</t>
        </is>
      </c>
      <c r="L17" s="42" t="inlineStr">
        <is>
          <t>QA Automation</t>
        </is>
      </c>
      <c r="M17" s="42" t="inlineStr">
        <is>
          <t>Not Executed</t>
        </is>
      </c>
      <c r="N17" s="42" t="str"/>
    </row>
    <row r="18" ht="60" customHeight="1">
      <c r="A18" s="42" t="inlineStr">
        <is>
          <t>UAT-PLAY-003</t>
        </is>
      </c>
      <c r="B18" s="42" t="inlineStr">
        <is>
          <t>Playback</t>
        </is>
      </c>
      <c r="C18" s="42" t="inlineStr">
        <is>
          <t>P1</t>
        </is>
      </c>
      <c r="D18" s="42" t="inlineStr">
        <is>
          <t>Behavioral</t>
        </is>
      </c>
      <c r="E18" s="42" t="inlineStr">
        <is>
          <t>Current 17234f7 repair</t>
        </is>
      </c>
      <c r="F18" s="42" t="inlineStr">
        <is>
          <t>Background-tab clock integrity</t>
        </is>
      </c>
      <c r="G18" s="42" t="inlineStr">
        <is>
          <t>Sequence with video plus auxiliary audio</t>
        </is>
      </c>
      <c r="H18" s="42" t="inlineStr">
        <is>
          <t>Play; background tab for 10 seconds; return</t>
        </is>
      </c>
      <c r="I18" s="42" t="inlineStr">
        <is>
          <t>No wall-clock jump, broken fade, or A/V desync</t>
        </is>
      </c>
      <c r="J18" s="42" t="inlineStr">
        <is>
          <t>Screen recording and currentTime trace</t>
        </is>
      </c>
      <c r="K18" s="42" t="inlineStr">
        <is>
          <t>Partial</t>
        </is>
      </c>
      <c r="L18" s="42" t="inlineStr">
        <is>
          <t>QA Automation</t>
        </is>
      </c>
      <c r="M18" s="42" t="inlineStr">
        <is>
          <t>Not Executed</t>
        </is>
      </c>
      <c r="N18" s="42" t="str"/>
    </row>
    <row r="19" ht="60" customHeight="1">
      <c r="A19" s="42" t="inlineStr">
        <is>
          <t>UAT-PLAY-004</t>
        </is>
      </c>
      <c r="B19" s="42" t="inlineStr">
        <is>
          <t>Playback</t>
        </is>
      </c>
      <c r="C19" s="42" t="inlineStr">
        <is>
          <t>P1</t>
        </is>
      </c>
      <c r="D19" s="42" t="inlineStr">
        <is>
          <t>Behavioral</t>
        </is>
      </c>
      <c r="E19" s="42" t="inlineStr">
        <is>
          <t>Current 17234f7 repair</t>
        </is>
      </c>
      <c r="F19" s="42" t="inlineStr">
        <is>
          <t>Positive-gain parity</t>
        </is>
      </c>
      <c r="G19" s="42" t="inlineStr">
        <is>
          <t>+12 dB clip with known tone</t>
        </is>
      </c>
      <c r="H19" s="42" t="inlineStr">
        <is>
          <t>Preview; export; measure both</t>
        </is>
      </c>
      <c r="I19" s="42" t="inlineStr">
        <is>
          <t>Preview/export agree within 0.5 dB</t>
        </is>
      </c>
      <c r="J19" s="42" t="inlineStr">
        <is>
          <t>Waveform/loudness report</t>
        </is>
      </c>
      <c r="K19" s="42" t="inlineStr">
        <is>
          <t>Partial</t>
        </is>
      </c>
      <c r="L19" s="42" t="inlineStr">
        <is>
          <t>QA Automation</t>
        </is>
      </c>
      <c r="M19" s="42" t="inlineStr">
        <is>
          <t>Not Executed</t>
        </is>
      </c>
      <c r="N19" s="42" t="str"/>
    </row>
    <row r="20" ht="60" customHeight="1">
      <c r="A20" s="42" t="inlineStr">
        <is>
          <t>UAT-PLAY-005</t>
        </is>
      </c>
      <c r="B20" s="42" t="inlineStr">
        <is>
          <t>Playback</t>
        </is>
      </c>
      <c r="C20" s="42" t="inlineStr">
        <is>
          <t>P1</t>
        </is>
      </c>
      <c r="D20" s="42" t="inlineStr">
        <is>
          <t>Behavioral</t>
        </is>
      </c>
      <c r="E20" s="42" t="inlineStr">
        <is>
          <t>Current 17234f7 repair</t>
        </is>
      </c>
      <c r="F20" s="42" t="inlineStr">
        <is>
          <t>Long-sequence sync</t>
        </is>
      </c>
      <c r="G20" s="42" t="inlineStr">
        <is>
          <t>10-minute sequence with clap markers each minute</t>
        </is>
      </c>
      <c r="H20" s="42" t="inlineStr">
        <is>
          <t>Play end to end</t>
        </is>
      </c>
      <c r="I20" s="42" t="inlineStr">
        <is>
          <t>A/V drift stays within 20 ms</t>
        </is>
      </c>
      <c r="J20" s="42" t="inlineStr">
        <is>
          <t>Recorded output and marker analysis</t>
        </is>
      </c>
      <c r="K20" s="42" t="inlineStr">
        <is>
          <t>Partial</t>
        </is>
      </c>
      <c r="L20" s="42" t="inlineStr">
        <is>
          <t>QA Automation</t>
        </is>
      </c>
      <c r="M20" s="42" t="inlineStr">
        <is>
          <t>Not Executed</t>
        </is>
      </c>
      <c r="N20" s="42" t="str"/>
    </row>
    <row r="21" ht="60" customHeight="1">
      <c r="A21" s="42" t="inlineStr">
        <is>
          <t>UAT-REG-001</t>
        </is>
      </c>
      <c r="B21" s="42" t="inlineStr">
        <is>
          <t>Regression</t>
        </is>
      </c>
      <c r="C21" s="42" t="inlineStr">
        <is>
          <t>P1</t>
        </is>
      </c>
      <c r="D21" s="42" t="inlineStr">
        <is>
          <t>Regression</t>
        </is>
      </c>
      <c r="E21" s="42" t="inlineStr">
        <is>
          <t>Current 17234f7 repair</t>
        </is>
      </c>
      <c r="F21" s="42" t="inlineStr">
        <is>
          <t>Active/latest/all baseline</t>
        </is>
      </c>
      <c r="G21" s="42" t="inlineStr">
        <is>
          <t>Parent fixture and current fixture</t>
        </is>
      </c>
      <c r="H21" s="42" t="inlineStr">
        <is>
          <t>Compare take membership/defaults</t>
        </is>
      </c>
      <c r="I21" s="42" t="inlineStr">
        <is>
          <t>No regression from accepted parent behavior</t>
        </is>
      </c>
      <c r="J21" s="42" t="inlineStr">
        <is>
          <t>Automated diff</t>
        </is>
      </c>
      <c r="K21" s="42" t="inlineStr">
        <is>
          <t>Yes</t>
        </is>
      </c>
      <c r="L21" s="42" t="inlineStr">
        <is>
          <t>QA Automation</t>
        </is>
      </c>
      <c r="M21" s="42" t="inlineStr">
        <is>
          <t>Not Executed</t>
        </is>
      </c>
      <c r="N21" s="42" t="str"/>
    </row>
    <row r="22" ht="60" customHeight="1">
      <c r="A22" s="42" t="inlineStr">
        <is>
          <t>UAT-REG-002</t>
        </is>
      </c>
      <c r="B22" s="42" t="inlineStr">
        <is>
          <t>Regression</t>
        </is>
      </c>
      <c r="C22" s="42" t="inlineStr">
        <is>
          <t>P1</t>
        </is>
      </c>
      <c r="D22" s="42" t="inlineStr">
        <is>
          <t>Regression</t>
        </is>
      </c>
      <c r="E22" s="42" t="inlineStr">
        <is>
          <t>Current 17234f7 repair</t>
        </is>
      </c>
      <c r="F22" s="42" t="inlineStr">
        <is>
          <t>Required CI gate</t>
        </is>
      </c>
      <c r="G22" s="42" t="inlineStr">
        <is>
          <t>Open test PR with intentional failure</t>
        </is>
      </c>
      <c r="H22" s="42" t="inlineStr">
        <is>
          <t>Attempt merge</t>
        </is>
      </c>
      <c r="I22" s="42" t="inlineStr">
        <is>
          <t>Protected branch blocks merge</t>
        </is>
      </c>
      <c r="J22" s="42" t="inlineStr">
        <is>
          <t>PR evidence</t>
        </is>
      </c>
      <c r="K22" s="42" t="inlineStr">
        <is>
          <t>Yes</t>
        </is>
      </c>
      <c r="L22" s="42" t="inlineStr">
        <is>
          <t>QA Automation</t>
        </is>
      </c>
      <c r="M22" s="42" t="inlineStr">
        <is>
          <t>Not Executed</t>
        </is>
      </c>
      <c r="N22" s="42" t="str"/>
    </row>
    <row r="23" ht="60" customHeight="1">
      <c r="A23" s="42" t="inlineStr">
        <is>
          <t>UAT-TAKE-001</t>
        </is>
      </c>
      <c r="B23" s="42" t="inlineStr">
        <is>
          <t>Takes</t>
        </is>
      </c>
      <c r="C23" s="42" t="inlineStr">
        <is>
          <t>P1</t>
        </is>
      </c>
      <c r="D23" s="42" t="inlineStr">
        <is>
          <t>Behavioral</t>
        </is>
      </c>
      <c r="E23" s="42" t="inlineStr">
        <is>
          <t>Current 17234f7 repair</t>
        </is>
      </c>
      <c r="F23" s="42" t="inlineStr">
        <is>
          <t>Default filter</t>
        </is>
      </c>
      <c r="G23" s="42" t="inlineStr">
        <is>
          <t>Project with active, latest, and historical takes</t>
        </is>
      </c>
      <c r="H23" s="42" t="inlineStr">
        <is>
          <t>Open sequence editor</t>
        </is>
      </c>
      <c r="I23" s="42" t="inlineStr">
        <is>
          <t>Active is default; count and label are correct</t>
        </is>
      </c>
      <c r="J23" s="42" t="inlineStr">
        <is>
          <t>Screenshot</t>
        </is>
      </c>
      <c r="K23" s="42" t="inlineStr">
        <is>
          <t>Yes</t>
        </is>
      </c>
      <c r="L23" s="42" t="inlineStr">
        <is>
          <t>QA Automation</t>
        </is>
      </c>
      <c r="M23" s="42" t="inlineStr">
        <is>
          <t>Not Executed</t>
        </is>
      </c>
      <c r="N23" s="42" t="str"/>
    </row>
    <row r="24" ht="60" customHeight="1">
      <c r="A24" s="42" t="inlineStr">
        <is>
          <t>UAT-TAKE-002</t>
        </is>
      </c>
      <c r="B24" s="42" t="inlineStr">
        <is>
          <t>Takes</t>
        </is>
      </c>
      <c r="C24" s="42" t="inlineStr">
        <is>
          <t>P1</t>
        </is>
      </c>
      <c r="D24" s="42" t="inlineStr">
        <is>
          <t>Behavioral</t>
        </is>
      </c>
      <c r="E24" s="42" t="inlineStr">
        <is>
          <t>Current 17234f7 repair</t>
        </is>
      </c>
      <c r="F24" s="42" t="inlineStr">
        <is>
          <t>Latest per selected segment</t>
        </is>
      </c>
      <c r="G24" s="42" t="inlineStr">
        <is>
          <t>Three segments, multiple versions each</t>
        </is>
      </c>
      <c r="H24" s="42" t="inlineStr">
        <is>
          <t>Select each timeline segment; choose Latest/segment</t>
        </is>
      </c>
      <c r="I24" s="42" t="inlineStr">
        <is>
          <t>Only newest eligible take for selected segment is shown</t>
        </is>
      </c>
      <c r="J24" s="42" t="inlineStr">
        <is>
          <t>Screenshots and item IDs</t>
        </is>
      </c>
      <c r="K24" s="42" t="inlineStr">
        <is>
          <t>Yes</t>
        </is>
      </c>
      <c r="L24" s="42" t="inlineStr">
        <is>
          <t>QA Automation</t>
        </is>
      </c>
      <c r="M24" s="42" t="inlineStr">
        <is>
          <t>Not Executed</t>
        </is>
      </c>
      <c r="N24" s="42" t="str"/>
    </row>
    <row r="25" ht="60" customHeight="1">
      <c r="A25" s="42" t="inlineStr">
        <is>
          <t>UAT-TAKE-003</t>
        </is>
      </c>
      <c r="B25" s="42" t="inlineStr">
        <is>
          <t>Takes</t>
        </is>
      </c>
      <c r="C25" s="42" t="inlineStr">
        <is>
          <t>P1</t>
        </is>
      </c>
      <c r="D25" s="42" t="inlineStr">
        <is>
          <t>Behavioral</t>
        </is>
      </c>
      <c r="E25" s="42" t="inlineStr">
        <is>
          <t>Current 17234f7 repair</t>
        </is>
      </c>
      <c r="F25" s="42" t="inlineStr">
        <is>
          <t>All filter</t>
        </is>
      </c>
      <c r="G25" s="42" t="inlineStr">
        <is>
          <t>Same fixture</t>
        </is>
      </c>
      <c r="H25" s="42" t="inlineStr">
        <is>
          <t>Choose All</t>
        </is>
      </c>
      <c r="I25" s="42" t="inlineStr">
        <is>
          <t>All takes appear exactly once</t>
        </is>
      </c>
      <c r="J25" s="42" t="inlineStr">
        <is>
          <t>Item ID export</t>
        </is>
      </c>
      <c r="K25" s="42" t="inlineStr">
        <is>
          <t>Yes</t>
        </is>
      </c>
      <c r="L25" s="42" t="inlineStr">
        <is>
          <t>QA Automation</t>
        </is>
      </c>
      <c r="M25" s="42" t="inlineStr">
        <is>
          <t>Not Executed</t>
        </is>
      </c>
      <c r="N25" s="42" t="str"/>
    </row>
    <row r="26" ht="60" customHeight="1">
      <c r="A26" s="42" t="inlineStr">
        <is>
          <t>UAT-TAKE-004</t>
        </is>
      </c>
      <c r="B26" s="42" t="inlineStr">
        <is>
          <t>Takes</t>
        </is>
      </c>
      <c r="C26" s="42" t="inlineStr">
        <is>
          <t>P1</t>
        </is>
      </c>
      <c r="D26" s="42" t="inlineStr">
        <is>
          <t>Behavioral</t>
        </is>
      </c>
      <c r="E26" s="42" t="inlineStr">
        <is>
          <t>Current 17234f7 repair</t>
        </is>
      </c>
      <c r="F26" s="42" t="inlineStr">
        <is>
          <t>Replace selected clip with take</t>
        </is>
      </c>
      <c r="G26" s="42" t="inlineStr">
        <is>
          <t>Selected timeline clip and alternate take</t>
        </is>
      </c>
      <c r="H26" s="42" t="inlineStr">
        <is>
          <t>Invoke Replace</t>
        </is>
      </c>
      <c r="I26" s="42" t="inlineStr">
        <is>
          <t>Correct target changes; trim policy disclosed; undo works</t>
        </is>
      </c>
      <c r="J26" s="42" t="inlineStr">
        <is>
          <t>Before/after document diff</t>
        </is>
      </c>
      <c r="K26" s="42" t="inlineStr">
        <is>
          <t>Yes</t>
        </is>
      </c>
      <c r="L26" s="42" t="inlineStr">
        <is>
          <t>QA Automation</t>
        </is>
      </c>
      <c r="M26" s="42" t="inlineStr">
        <is>
          <t>Not Executed</t>
        </is>
      </c>
      <c r="N26" s="42" t="str"/>
    </row>
    <row r="27" ht="60" customHeight="1">
      <c r="A27" s="42" t="inlineStr">
        <is>
          <t>UAT-A11Y-002</t>
        </is>
      </c>
      <c r="B27" s="42" t="inlineStr">
        <is>
          <t>Accessibility</t>
        </is>
      </c>
      <c r="C27" s="42" t="inlineStr">
        <is>
          <t>P2</t>
        </is>
      </c>
      <c r="D27" s="42" t="inlineStr">
        <is>
          <t>Accessibility</t>
        </is>
      </c>
      <c r="E27" s="42" t="inlineStr">
        <is>
          <t>Current 17234f7 repair</t>
        </is>
      </c>
      <c r="F27" s="42" t="inlineStr">
        <is>
          <t>Screen-reader names</t>
        </is>
      </c>
      <c r="G27" s="42" t="inlineStr">
        <is>
          <t>NVDA on Windows</t>
        </is>
      </c>
      <c r="H27" s="42" t="inlineStr">
        <is>
          <t>Navigate all controls</t>
        </is>
      </c>
      <c r="I27" s="42" t="inlineStr">
        <is>
          <t>Distinct roles/names/states announced</t>
        </is>
      </c>
      <c r="J27" s="42" t="inlineStr">
        <is>
          <t>NVDA transcript</t>
        </is>
      </c>
      <c r="K27" s="42" t="inlineStr">
        <is>
          <t>Partial</t>
        </is>
      </c>
      <c r="L27" s="42" t="inlineStr">
        <is>
          <t>Accessibility QA + QA Automation</t>
        </is>
      </c>
      <c r="M27" s="42" t="inlineStr">
        <is>
          <t>Not Executed</t>
        </is>
      </c>
      <c r="N27" s="42" t="str"/>
    </row>
    <row r="28" ht="60" customHeight="1">
      <c r="A28" s="42" t="inlineStr">
        <is>
          <t>UAT-A11Y-003</t>
        </is>
      </c>
      <c r="B28" s="42" t="inlineStr">
        <is>
          <t>Accessibility</t>
        </is>
      </c>
      <c r="C28" s="42" t="inlineStr">
        <is>
          <t>P2</t>
        </is>
      </c>
      <c r="D28" s="42" t="inlineStr">
        <is>
          <t>Accessibility</t>
        </is>
      </c>
      <c r="E28" s="42" t="inlineStr">
        <is>
          <t>Current 17234f7 repair</t>
        </is>
      </c>
      <c r="F28" s="42" t="inlineStr">
        <is>
          <t>Live status</t>
        </is>
      </c>
      <c r="G28" s="42" t="inlineStr">
        <is>
          <t>NVDA on Windows</t>
        </is>
      </c>
      <c r="H28" s="42" t="inlineStr">
        <is>
          <t>Run long import and induce buffering/error</t>
        </is>
      </c>
      <c r="I28" s="42" t="inlineStr">
        <is>
          <t>Progress and errors announced appropriately</t>
        </is>
      </c>
      <c r="J28" s="42" t="inlineStr">
        <is>
          <t>NVDA transcript</t>
        </is>
      </c>
      <c r="K28" s="42" t="inlineStr">
        <is>
          <t>Partial</t>
        </is>
      </c>
      <c r="L28" s="42" t="inlineStr">
        <is>
          <t>Accessibility QA + QA Automation</t>
        </is>
      </c>
      <c r="M28" s="42" t="inlineStr">
        <is>
          <t>Not Executed</t>
        </is>
      </c>
      <c r="N28" s="42" t="str"/>
    </row>
    <row r="29" ht="60" customHeight="1">
      <c r="A29" s="42" t="inlineStr">
        <is>
          <t>UAT-A11Y-004</t>
        </is>
      </c>
      <c r="B29" s="42" t="inlineStr">
        <is>
          <t>Accessibility</t>
        </is>
      </c>
      <c r="C29" s="42" t="inlineStr">
        <is>
          <t>P2</t>
        </is>
      </c>
      <c r="D29" s="42" t="inlineStr">
        <is>
          <t>Accessibility</t>
        </is>
      </c>
      <c r="E29" s="42" t="inlineStr">
        <is>
          <t>Current 17234f7 repair</t>
        </is>
      </c>
      <c r="F29" s="42" t="inlineStr">
        <is>
          <t>Target size</t>
        </is>
      </c>
      <c r="G29" s="42" t="inlineStr">
        <is>
          <t>Rendered app</t>
        </is>
      </c>
      <c r="H29" s="42" t="inlineStr">
        <is>
          <t>Measure interactive hit boxes</t>
        </is>
      </c>
      <c r="I29" s="42" t="inlineStr">
        <is>
          <t>Primary targets meet project minimum</t>
        </is>
      </c>
      <c r="J29" s="42" t="inlineStr">
        <is>
          <t>Measurement sheet</t>
        </is>
      </c>
      <c r="K29" s="42" t="inlineStr">
        <is>
          <t>Partial</t>
        </is>
      </c>
      <c r="L29" s="42" t="inlineStr">
        <is>
          <t>Accessibility QA + QA Automation</t>
        </is>
      </c>
      <c r="M29" s="42" t="inlineStr">
        <is>
          <t>Not Executed</t>
        </is>
      </c>
      <c r="N29" s="42" t="str"/>
    </row>
    <row r="30" ht="60" customHeight="1">
      <c r="A30" s="42" t="inlineStr">
        <is>
          <t>UAT-A11Y-005</t>
        </is>
      </c>
      <c r="B30" s="42" t="inlineStr">
        <is>
          <t>Accessibility</t>
        </is>
      </c>
      <c r="C30" s="42" t="inlineStr">
        <is>
          <t>P2</t>
        </is>
      </c>
      <c r="D30" s="42" t="inlineStr">
        <is>
          <t>Accessibility</t>
        </is>
      </c>
      <c r="E30" s="42" t="inlineStr">
        <is>
          <t>Current 17234f7 repair</t>
        </is>
      </c>
      <c r="F30" s="42" t="inlineStr">
        <is>
          <t>Contrast</t>
        </is>
      </c>
      <c r="G30" s="42" t="inlineStr">
        <is>
          <t>Rendered app in all states</t>
        </is>
      </c>
      <c r="H30" s="42" t="inlineStr">
        <is>
          <t>Run axe/manual sampling</t>
        </is>
      </c>
      <c r="I30" s="42" t="inlineStr">
        <is>
          <t>Chosen WCAG AA thresholds pass</t>
        </is>
      </c>
      <c r="J30" s="42" t="inlineStr">
        <is>
          <t>axe/contrast report</t>
        </is>
      </c>
      <c r="K30" s="42" t="inlineStr">
        <is>
          <t>Partial</t>
        </is>
      </c>
      <c r="L30" s="42" t="inlineStr">
        <is>
          <t>Accessibility QA + QA Automation</t>
        </is>
      </c>
      <c r="M30" s="42" t="inlineStr">
        <is>
          <t>Not Executed</t>
        </is>
      </c>
      <c r="N30" s="42" t="str"/>
    </row>
    <row r="31" ht="60" customHeight="1">
      <c r="A31" s="42" t="inlineStr">
        <is>
          <t>UAT-A11Y-006</t>
        </is>
      </c>
      <c r="B31" s="42" t="inlineStr">
        <is>
          <t>Accessibility</t>
        </is>
      </c>
      <c r="C31" s="42" t="inlineStr">
        <is>
          <t>P2</t>
        </is>
      </c>
      <c r="D31" s="42" t="inlineStr">
        <is>
          <t>Behavioral</t>
        </is>
      </c>
      <c r="E31" s="42" t="inlineStr">
        <is>
          <t>Current / decision-dependent</t>
        </is>
      </c>
      <c r="F31" s="42" t="inlineStr">
        <is>
          <t>400% zoom and reflow</t>
        </is>
      </c>
      <c r="G31" s="42" t="inlineStr">
        <is>
          <t>Supported desktop browser</t>
        </is>
      </c>
      <c r="H31" s="42" t="inlineStr">
        <is>
          <t>Set 400% zoom; complete play, select take, import, load workflow, recover error</t>
        </is>
      </c>
      <c r="I31" s="42" t="inlineStr">
        <is>
          <t>Core workflows remain reachable; no clipped essential actions; spatial timeline scroll is intentional</t>
        </is>
      </c>
      <c r="J31" s="42" t="inlineStr">
        <is>
          <t>Full-page screenshots</t>
        </is>
      </c>
      <c r="K31" s="42" t="inlineStr">
        <is>
          <t>Yes</t>
        </is>
      </c>
      <c r="L31" s="42" t="inlineStr">
        <is>
          <t>QA Automation</t>
        </is>
      </c>
      <c r="M31" s="42" t="inlineStr">
        <is>
          <t>Not Executed</t>
        </is>
      </c>
      <c r="N31" s="42" t="str"/>
    </row>
    <row r="32" ht="60" customHeight="1">
      <c r="A32" s="42" t="inlineStr">
        <is>
          <t>UAT-A11Y-008</t>
        </is>
      </c>
      <c r="B32" s="42" t="inlineStr">
        <is>
          <t>Accessibility</t>
        </is>
      </c>
      <c r="C32" s="42" t="inlineStr">
        <is>
          <t>P2</t>
        </is>
      </c>
      <c r="D32" s="42" t="inlineStr">
        <is>
          <t>Behavioral</t>
        </is>
      </c>
      <c r="E32" s="42" t="inlineStr">
        <is>
          <t>Current / decision-dependent</t>
        </is>
      </c>
      <c r="F32" s="42" t="inlineStr">
        <is>
          <t>Windows forced-colors/high contrast</t>
        </is>
      </c>
      <c r="G32" s="42" t="inlineStr">
        <is>
          <t>Forced-colors active</t>
        </is>
      </c>
      <c r="H32" s="42" t="inlineStr">
        <is>
          <t>Inspect active/selected/muted/locked/error/drop/loaded states and keyboard focus</t>
        </is>
      </c>
      <c r="I32" s="42" t="inlineStr">
        <is>
          <t>Every state remains distinguishable without color alone</t>
        </is>
      </c>
      <c r="J32" s="42" t="inlineStr">
        <is>
          <t>Screenshots and manual audit</t>
        </is>
      </c>
      <c r="K32" s="42" t="inlineStr">
        <is>
          <t>Yes</t>
        </is>
      </c>
      <c r="L32" s="42" t="inlineStr">
        <is>
          <t>QA Automation</t>
        </is>
      </c>
      <c r="M32" s="42" t="inlineStr">
        <is>
          <t>Not Executed</t>
        </is>
      </c>
      <c r="N32" s="42" t="str"/>
    </row>
    <row r="33" ht="60" customHeight="1">
      <c r="A33" s="42" t="inlineStr">
        <is>
          <t>UAT-PLAY-023</t>
        </is>
      </c>
      <c r="B33" s="42" t="inlineStr">
        <is>
          <t>Accessibility</t>
        </is>
      </c>
      <c r="C33" s="42" t="inlineStr">
        <is>
          <t>P2</t>
        </is>
      </c>
      <c r="D33" s="42" t="inlineStr">
        <is>
          <t>Behavioral</t>
        </is>
      </c>
      <c r="E33" s="42" t="inlineStr">
        <is>
          <t>Current / decision-dependent</t>
        </is>
      </c>
      <c r="F33" s="42" t="inlineStr">
        <is>
          <t>Reduced motion and 400% zoom</t>
        </is>
      </c>
      <c r="G33" s="42" t="inlineStr">
        <is>
          <t>Supported browser with prefers-reduced-motion; browser zoom at 400%</t>
        </is>
      </c>
      <c r="H33" s="42" t="inlineStr">
        <is>
          <t>Complete basic play, seek, take selection, and error recovery</t>
        </is>
      </c>
      <c r="I33" s="42" t="inlineStr">
        <is>
          <t>Decorative motion is removed, essential status remains visible, and core controls are reachable without clipped content</t>
        </is>
      </c>
      <c r="J33" s="42" t="inlineStr">
        <is>
          <t>Screenshots and accessibility audit</t>
        </is>
      </c>
      <c r="K33" s="42" t="inlineStr">
        <is>
          <t>Partial</t>
        </is>
      </c>
      <c r="L33" s="42" t="inlineStr">
        <is>
          <t>Accessibility QA</t>
        </is>
      </c>
      <c r="M33" s="42" t="inlineStr">
        <is>
          <t>Not Executed</t>
        </is>
      </c>
      <c r="N33" s="42" t="str"/>
    </row>
    <row r="34" ht="60" customHeight="1">
      <c r="A34" s="42" t="inlineStr">
        <is>
          <t>UAT-COMFY-006</t>
        </is>
      </c>
      <c r="B34" s="42" t="inlineStr">
        <is>
          <t>Comfy Picker</t>
        </is>
      </c>
      <c r="C34" s="42" t="inlineStr">
        <is>
          <t>P2</t>
        </is>
      </c>
      <c r="D34" s="42" t="inlineStr">
        <is>
          <t>Behavioral</t>
        </is>
      </c>
      <c r="E34" s="42" t="inlineStr">
        <is>
          <t>Current 17234f7 repair</t>
        </is>
      </c>
      <c r="F34" s="42" t="inlineStr">
        <is>
          <t>Missing local workflow folder</t>
        </is>
      </c>
      <c r="G34" s="42" t="inlineStr">
        <is>
          <t>Rename/remove user/default/workflows</t>
        </is>
      </c>
      <c r="H34" s="42" t="inlineStr">
        <is>
          <t>Open picker</t>
        </is>
      </c>
      <c r="I34" s="42" t="inlineStr">
        <is>
          <t>Explicit missing-library state; packaged options still identified</t>
        </is>
      </c>
      <c r="J34" s="42" t="inlineStr">
        <is>
          <t>Screenshot</t>
        </is>
      </c>
      <c r="K34" s="42" t="inlineStr">
        <is>
          <t>Yes</t>
        </is>
      </c>
      <c r="L34" s="42" t="inlineStr">
        <is>
          <t>QA Automation</t>
        </is>
      </c>
      <c r="M34" s="42" t="inlineStr">
        <is>
          <t>Not Executed</t>
        </is>
      </c>
      <c r="N34" s="42" t="str"/>
    </row>
    <row r="35" ht="60" customHeight="1">
      <c r="A35" s="42" t="inlineStr">
        <is>
          <t>UAT-COMFY-007</t>
        </is>
      </c>
      <c r="B35" s="42" t="inlineStr">
        <is>
          <t>Comfy Picker</t>
        </is>
      </c>
      <c r="C35" s="42" t="inlineStr">
        <is>
          <t>P2</t>
        </is>
      </c>
      <c r="D35" s="42" t="inlineStr">
        <is>
          <t>Behavioral</t>
        </is>
      </c>
      <c r="E35" s="42" t="inlineStr">
        <is>
          <t>Current 17234f7 repair</t>
        </is>
      </c>
      <c r="F35" s="42" t="inlineStr">
        <is>
          <t>Partial source failure</t>
        </is>
      </c>
      <c r="G35" s="42" t="inlineStr">
        <is>
          <t>Make one list endpoint return 500</t>
        </is>
      </c>
      <c r="H35" s="42" t="inlineStr">
        <is>
          <t>Open picker</t>
        </is>
      </c>
      <c r="I35" s="42" t="inlineStr">
        <is>
          <t>Partial results plus source-specific error/retry</t>
        </is>
      </c>
      <c r="J35" s="42" t="inlineStr">
        <is>
          <t>Screenshot/network log</t>
        </is>
      </c>
      <c r="K35" s="42" t="inlineStr">
        <is>
          <t>Yes</t>
        </is>
      </c>
      <c r="L35" s="42" t="inlineStr">
        <is>
          <t>QA Automation</t>
        </is>
      </c>
      <c r="M35" s="42" t="inlineStr">
        <is>
          <t>Not Executed</t>
        </is>
      </c>
      <c r="N35" s="42" t="str"/>
    </row>
    <row r="36" ht="60" customHeight="1">
      <c r="A36" s="42" t="inlineStr">
        <is>
          <t>UAT-COMFY-008</t>
        </is>
      </c>
      <c r="B36" s="42" t="inlineStr">
        <is>
          <t>Comfy Picker</t>
        </is>
      </c>
      <c r="C36" s="42" t="inlineStr">
        <is>
          <t>P2</t>
        </is>
      </c>
      <c r="D36" s="42" t="inlineStr">
        <is>
          <t>Behavioral</t>
        </is>
      </c>
      <c r="E36" s="42" t="inlineStr">
        <is>
          <t>Current 17234f7 repair</t>
        </is>
      </c>
      <c r="F36" s="42" t="inlineStr">
        <is>
          <t>Malformed graph JSON</t>
        </is>
      </c>
      <c r="G36" s="42" t="inlineStr">
        <is>
          <t>Add malformed workflow file</t>
        </is>
      </c>
      <c r="H36" s="42" t="inlineStr">
        <is>
          <t>Select it</t>
        </is>
      </c>
      <c r="I36" s="42" t="inlineStr">
        <is>
          <t>Parse error names file; prior canvas remains intact</t>
        </is>
      </c>
      <c r="J36" s="42" t="inlineStr">
        <is>
          <t>Screenshot</t>
        </is>
      </c>
      <c r="K36" s="42" t="inlineStr">
        <is>
          <t>Yes</t>
        </is>
      </c>
      <c r="L36" s="42" t="inlineStr">
        <is>
          <t>QA Automation</t>
        </is>
      </c>
      <c r="M36" s="42" t="inlineStr">
        <is>
          <t>Not Executed</t>
        </is>
      </c>
      <c r="N36" s="42" t="str"/>
    </row>
    <row r="37" ht="60" customHeight="1">
      <c r="A37" s="42" t="inlineStr">
        <is>
          <t>UAT-COMFY-009</t>
        </is>
      </c>
      <c r="B37" s="42" t="inlineStr">
        <is>
          <t>Comfy Picker</t>
        </is>
      </c>
      <c r="C37" s="42" t="inlineStr">
        <is>
          <t>P2</t>
        </is>
      </c>
      <c r="D37" s="42" t="inlineStr">
        <is>
          <t>Behavioral</t>
        </is>
      </c>
      <c r="E37" s="42" t="inlineStr">
        <is>
          <t>Current 17234f7 repair</t>
        </is>
      </c>
      <c r="F37" s="42" t="inlineStr">
        <is>
          <t>Ambiguous names</t>
        </is>
      </c>
      <c r="G37" s="42" t="inlineStr">
        <is>
          <t>Add foo.json and foo-v2.json with overlapping IDs</t>
        </is>
      </c>
      <c r="H37" s="42" t="inlineStr">
        <is>
          <t>Request fuzzy ID</t>
        </is>
      </c>
      <c r="I37" s="42" t="inlineStr">
        <is>
          <t>Explicit exact choice or ambiguity error</t>
        </is>
      </c>
      <c r="J37" s="42" t="inlineStr">
        <is>
          <t>Server response</t>
        </is>
      </c>
      <c r="K37" s="42" t="inlineStr">
        <is>
          <t>Yes</t>
        </is>
      </c>
      <c r="L37" s="42" t="inlineStr">
        <is>
          <t>QA Automation</t>
        </is>
      </c>
      <c r="M37" s="42" t="inlineStr">
        <is>
          <t>Not Executed</t>
        </is>
      </c>
      <c r="N37" s="42" t="str"/>
    </row>
    <row r="38" ht="60" customHeight="1">
      <c r="A38" s="42" t="inlineStr">
        <is>
          <t>UAT-COMFY-010</t>
        </is>
      </c>
      <c r="B38" s="42" t="inlineStr">
        <is>
          <t>Comfy Picker</t>
        </is>
      </c>
      <c r="C38" s="42" t="inlineStr">
        <is>
          <t>P2</t>
        </is>
      </c>
      <c r="D38" s="42" t="inlineStr">
        <is>
          <t>Behavioral</t>
        </is>
      </c>
      <c r="E38" s="42" t="inlineStr">
        <is>
          <t>Current 17234f7 repair</t>
        </is>
      </c>
      <c r="F38" s="42" t="inlineStr">
        <is>
          <t>Large library search</t>
        </is>
      </c>
      <c r="G38" s="42" t="inlineStr">
        <is>
          <t>5,000 workflow entries</t>
        </is>
      </c>
      <c r="H38" s="42" t="inlineStr">
        <is>
          <t>Search by name/path/model</t>
        </is>
      </c>
      <c r="I38" s="42" t="inlineStr">
        <is>
          <t>Fast filtered discovery without giant select scanning</t>
        </is>
      </c>
      <c r="J38" s="42" t="inlineStr">
        <is>
          <t>Performance/video</t>
        </is>
      </c>
      <c r="K38" s="42" t="inlineStr">
        <is>
          <t>Yes</t>
        </is>
      </c>
      <c r="L38" s="42" t="inlineStr">
        <is>
          <t>QA Automation</t>
        </is>
      </c>
      <c r="M38" s="42" t="inlineStr">
        <is>
          <t>Not Executed</t>
        </is>
      </c>
      <c r="N38" s="42" t="str"/>
    </row>
    <row r="39" ht="60" customHeight="1">
      <c r="A39" s="42" t="inlineStr">
        <is>
          <t>UAT-COMFY-011</t>
        </is>
      </c>
      <c r="B39" s="42" t="inlineStr">
        <is>
          <t>Comfy Picker</t>
        </is>
      </c>
      <c r="C39" s="42" t="inlineStr">
        <is>
          <t>P2</t>
        </is>
      </c>
      <c r="D39" s="42" t="inlineStr">
        <is>
          <t>Behavioral</t>
        </is>
      </c>
      <c r="E39" s="42" t="inlineStr">
        <is>
          <t>Current 17234f7 repair</t>
        </is>
      </c>
      <c r="F39" s="42" t="inlineStr">
        <is>
          <t>Cross-origin iframe</t>
        </is>
      </c>
      <c r="G39" s="42" t="inlineStr">
        <is>
          <t>Configure an origin that blocks DOM access</t>
        </is>
      </c>
      <c r="H39" s="42" t="inlineStr">
        <is>
          <t>Load/queue</t>
        </is>
      </c>
      <c r="I39" s="42" t="inlineStr">
        <is>
          <t>Controlled bridge-unavailable state; no uncaught exception</t>
        </is>
      </c>
      <c r="J39" s="42" t="inlineStr">
        <is>
          <t>Console/screenshot</t>
        </is>
      </c>
      <c r="K39" s="42" t="inlineStr">
        <is>
          <t>Yes</t>
        </is>
      </c>
      <c r="L39" s="42" t="inlineStr">
        <is>
          <t>QA Automation</t>
        </is>
      </c>
      <c r="M39" s="42" t="inlineStr">
        <is>
          <t>Not Executed</t>
        </is>
      </c>
      <c r="N39" s="42" t="str"/>
    </row>
    <row r="40" ht="60" customHeight="1">
      <c r="A40" s="42" t="inlineStr">
        <is>
          <t>UAT-COMFY-012</t>
        </is>
      </c>
      <c r="B40" s="42" t="inlineStr">
        <is>
          <t>Comfy Picker</t>
        </is>
      </c>
      <c r="C40" s="42" t="inlineStr">
        <is>
          <t>P2</t>
        </is>
      </c>
      <c r="D40" s="42" t="inlineStr">
        <is>
          <t>Behavioral</t>
        </is>
      </c>
      <c r="E40" s="42" t="inlineStr">
        <is>
          <t>Current 17234f7 repair</t>
        </is>
      </c>
      <c r="F40" s="42" t="inlineStr">
        <is>
          <t>Queue acknowledgement</t>
        </is>
      </c>
      <c r="G40" s="42" t="inlineStr">
        <is>
          <t>Load valid graph and queue</t>
        </is>
      </c>
      <c r="H40" s="42" t="inlineStr">
        <is>
          <t>Queue once</t>
        </is>
      </c>
      <c r="I40" s="42" t="inlineStr">
        <is>
          <t>Prompt/job ID returned and visible</t>
        </is>
      </c>
      <c r="J40" s="42" t="inlineStr">
        <is>
          <t>API/bridge log</t>
        </is>
      </c>
      <c r="K40" s="42" t="inlineStr">
        <is>
          <t>Yes</t>
        </is>
      </c>
      <c r="L40" s="42" t="inlineStr">
        <is>
          <t>QA Automation</t>
        </is>
      </c>
      <c r="M40" s="42" t="inlineStr">
        <is>
          <t>Not Executed</t>
        </is>
      </c>
      <c r="N40" s="42" t="str"/>
    </row>
    <row r="41" ht="60" customHeight="1">
      <c r="A41" s="42" t="inlineStr">
        <is>
          <t>UAT-COMFY-013</t>
        </is>
      </c>
      <c r="B41" s="42" t="inlineStr">
        <is>
          <t>Comfy Picker</t>
        </is>
      </c>
      <c r="C41" s="42" t="inlineStr">
        <is>
          <t>P2</t>
        </is>
      </c>
      <c r="D41" s="42" t="inlineStr">
        <is>
          <t>Behavioral</t>
        </is>
      </c>
      <c r="E41" s="42" t="inlineStr">
        <is>
          <t>Current 17234f7 repair</t>
        </is>
      </c>
      <c r="F41" s="42" t="inlineStr">
        <is>
          <t>Queue rejection</t>
        </is>
      </c>
      <c r="G41" s="42" t="inlineStr">
        <is>
          <t>Force Comfy validation error</t>
        </is>
      </c>
      <c r="H41" s="42" t="inlineStr">
        <is>
          <t>Queue</t>
        </is>
      </c>
      <c r="I41" s="42" t="inlineStr">
        <is>
          <t>No false success; actionable node/error info</t>
        </is>
      </c>
      <c r="J41" s="42" t="inlineStr">
        <is>
          <t>Screenshot/API response</t>
        </is>
      </c>
      <c r="K41" s="42" t="inlineStr">
        <is>
          <t>Yes</t>
        </is>
      </c>
      <c r="L41" s="42" t="inlineStr">
        <is>
          <t>QA Automation</t>
        </is>
      </c>
      <c r="M41" s="42" t="inlineStr">
        <is>
          <t>Not Executed</t>
        </is>
      </c>
      <c r="N41" s="42" t="str"/>
    </row>
    <row r="42" ht="60" customHeight="1">
      <c r="A42" s="42" t="inlineStr">
        <is>
          <t>UAT-COMFY-014</t>
        </is>
      </c>
      <c r="B42" s="42" t="inlineStr">
        <is>
          <t>Comfy Picker</t>
        </is>
      </c>
      <c r="C42" s="42" t="inlineStr">
        <is>
          <t>P2</t>
        </is>
      </c>
      <c r="D42" s="42" t="inlineStr">
        <is>
          <t>Behavioral</t>
        </is>
      </c>
      <c r="E42" s="42" t="inlineStr">
        <is>
          <t>Current 17234f7 repair</t>
        </is>
      </c>
      <c r="F42" s="42" t="inlineStr">
        <is>
          <t>Engine offline</t>
        </is>
      </c>
      <c r="G42" s="42" t="inlineStr">
        <is>
          <t>Stop ComfyUI</t>
        </is>
      </c>
      <c r="H42" s="42" t="inlineStr">
        <is>
          <t>Open workspace/retry</t>
        </is>
      </c>
      <c r="I42" s="42" t="inlineStr">
        <is>
          <t>Offline state with start/retry; no endless blank iframe</t>
        </is>
      </c>
      <c r="J42" s="42" t="inlineStr">
        <is>
          <t>Screen recording</t>
        </is>
      </c>
      <c r="K42" s="42" t="inlineStr">
        <is>
          <t>Yes</t>
        </is>
      </c>
      <c r="L42" s="42" t="inlineStr">
        <is>
          <t>QA Automation</t>
        </is>
      </c>
      <c r="M42" s="42" t="inlineStr">
        <is>
          <t>Not Executed</t>
        </is>
      </c>
      <c r="N42" s="42" t="str"/>
    </row>
    <row r="43" ht="60" customHeight="1">
      <c r="A43" s="42" t="inlineStr">
        <is>
          <t>UAT-COMFY-015</t>
        </is>
      </c>
      <c r="B43" s="42" t="inlineStr">
        <is>
          <t>Comfy Picker</t>
        </is>
      </c>
      <c r="C43" s="42" t="inlineStr">
        <is>
          <t>P2</t>
        </is>
      </c>
      <c r="D43" s="42" t="inlineStr">
        <is>
          <t>Behavioral</t>
        </is>
      </c>
      <c r="E43" s="42" t="inlineStr">
        <is>
          <t>Current 17234f7 repair</t>
        </is>
      </c>
      <c r="F43" s="42" t="inlineStr">
        <is>
          <t>Hung iframe</t>
        </is>
      </c>
      <c r="G43" s="42" t="inlineStr">
        <is>
          <t>Accept connection but never finish load</t>
        </is>
      </c>
      <c r="H43" s="42" t="inlineStr">
        <is>
          <t>Open workspace</t>
        </is>
      </c>
      <c r="I43" s="42" t="inlineStr">
        <is>
          <t>Timeout state and retry</t>
        </is>
      </c>
      <c r="J43" s="42" t="inlineStr">
        <is>
          <t>Timer/screenshot</t>
        </is>
      </c>
      <c r="K43" s="42" t="inlineStr">
        <is>
          <t>Yes</t>
        </is>
      </c>
      <c r="L43" s="42" t="inlineStr">
        <is>
          <t>QA Automation</t>
        </is>
      </c>
      <c r="M43" s="42" t="inlineStr">
        <is>
          <t>Not Executed</t>
        </is>
      </c>
      <c r="N43" s="42" t="str"/>
    </row>
    <row r="44" ht="60" customHeight="1">
      <c r="A44" s="42" t="inlineStr">
        <is>
          <t>UAT-COMFY-016</t>
        </is>
      </c>
      <c r="B44" s="42" t="inlineStr">
        <is>
          <t>Comfy Picker</t>
        </is>
      </c>
      <c r="C44" s="42" t="inlineStr">
        <is>
          <t>P2</t>
        </is>
      </c>
      <c r="D44" s="42" t="inlineStr">
        <is>
          <t>Behavioral</t>
        </is>
      </c>
      <c r="E44" s="42" t="inlineStr">
        <is>
          <t>Current 17234f7 repair</t>
        </is>
      </c>
      <c r="F44" s="42" t="inlineStr">
        <is>
          <t>Engine URL changes</t>
        </is>
      </c>
      <c r="G44" s="42" t="inlineStr">
        <is>
          <t>Switch shared/dedicated profile</t>
        </is>
      </c>
      <c r="H44" s="42" t="inlineStr">
        <is>
          <t>Observe toolbar/iframe</t>
        </is>
      </c>
      <c r="I44" s="42" t="inlineStr">
        <is>
          <t>Both update to same authoritative endpoint</t>
        </is>
      </c>
      <c r="J44" s="42" t="inlineStr">
        <is>
          <t>Health log/screenshot</t>
        </is>
      </c>
      <c r="K44" s="42" t="inlineStr">
        <is>
          <t>Yes</t>
        </is>
      </c>
      <c r="L44" s="42" t="inlineStr">
        <is>
          <t>QA Automation</t>
        </is>
      </c>
      <c r="M44" s="42" t="inlineStr">
        <is>
          <t>Not Executed</t>
        </is>
      </c>
      <c r="N44" s="42" t="str"/>
    </row>
    <row r="45" ht="60" customHeight="1">
      <c r="A45" s="42" t="inlineStr">
        <is>
          <t>UAT-COMFY-017</t>
        </is>
      </c>
      <c r="B45" s="42" t="inlineStr">
        <is>
          <t>Comfy Picker</t>
        </is>
      </c>
      <c r="C45" s="42" t="inlineStr">
        <is>
          <t>P2</t>
        </is>
      </c>
      <c r="D45" s="42" t="inlineStr">
        <is>
          <t>Behavioral</t>
        </is>
      </c>
      <c r="E45" s="42" t="inlineStr">
        <is>
          <t>Current 17234f7 repair</t>
        </is>
      </c>
      <c r="F45" s="42" t="inlineStr">
        <is>
          <t>Reload selected</t>
        </is>
      </c>
      <c r="G45" s="42" t="inlineStr">
        <is>
          <t>Modify current canvas</t>
        </is>
      </c>
      <c r="H45" s="42" t="inlineStr">
        <is>
          <t>Use Reload selected</t>
        </is>
      </c>
      <c r="I45" s="42" t="inlineStr">
        <is>
          <t>Confirmation then deterministic restore</t>
        </is>
      </c>
      <c r="J45" s="42" t="inlineStr">
        <is>
          <t>Graph hash</t>
        </is>
      </c>
      <c r="K45" s="42" t="inlineStr">
        <is>
          <t>Yes</t>
        </is>
      </c>
      <c r="L45" s="42" t="inlineStr">
        <is>
          <t>QA Automation</t>
        </is>
      </c>
      <c r="M45" s="42" t="inlineStr">
        <is>
          <t>Not Executed</t>
        </is>
      </c>
      <c r="N45" s="42" t="str"/>
    </row>
    <row r="46" ht="60" customHeight="1">
      <c r="A46" s="42" t="inlineStr">
        <is>
          <t>UAT-COMFY-018</t>
        </is>
      </c>
      <c r="B46" s="42" t="inlineStr">
        <is>
          <t>Comfy Picker</t>
        </is>
      </c>
      <c r="C46" s="42" t="inlineStr">
        <is>
          <t>P2</t>
        </is>
      </c>
      <c r="D46" s="42" t="inlineStr">
        <is>
          <t>Behavioral</t>
        </is>
      </c>
      <c r="E46" s="42" t="inlineStr">
        <is>
          <t>Current 17234f7 repair</t>
        </is>
      </c>
      <c r="F46" s="42" t="inlineStr">
        <is>
          <t>Asset context change</t>
        </is>
      </c>
      <c r="G46" s="42" t="inlineStr">
        <is>
          <t>Switch image→video→audio asset context</t>
        </is>
      </c>
      <c r="H46" s="42" t="inlineStr">
        <is>
          <t>Observe recommendation/current graph</t>
        </is>
      </c>
      <c r="I46" s="42" t="inlineStr">
        <is>
          <t>Incompatibility/default choice is explicit</t>
        </is>
      </c>
      <c r="J46" s="42" t="inlineStr">
        <is>
          <t>Screen recording</t>
        </is>
      </c>
      <c r="K46" s="42" t="inlineStr">
        <is>
          <t>Yes</t>
        </is>
      </c>
      <c r="L46" s="42" t="inlineStr">
        <is>
          <t>QA Automation</t>
        </is>
      </c>
      <c r="M46" s="42" t="inlineStr">
        <is>
          <t>Not Executed</t>
        </is>
      </c>
      <c r="N46" s="42" t="str"/>
    </row>
    <row r="47" ht="60" customHeight="1">
      <c r="A47" s="42" t="inlineStr">
        <is>
          <t>UAT-COMFY-019</t>
        </is>
      </c>
      <c r="B47" s="42" t="inlineStr">
        <is>
          <t>Comfy Picker</t>
        </is>
      </c>
      <c r="C47" s="42" t="inlineStr">
        <is>
          <t>P2</t>
        </is>
      </c>
      <c r="D47" s="42" t="inlineStr">
        <is>
          <t>Behavioral</t>
        </is>
      </c>
      <c r="E47" s="42" t="inlineStr">
        <is>
          <t>Current 17234f7 repair</t>
        </is>
      </c>
      <c r="F47" s="42" t="inlineStr">
        <is>
          <t>Unavailable catalog workflow</t>
        </is>
      </c>
      <c r="G47" s="42" t="inlineStr">
        <is>
          <t>Catalog ready=false</t>
        </is>
      </c>
      <c r="H47" s="42" t="inlineStr">
        <is>
          <t>Open/select</t>
        </is>
      </c>
      <c r="I47" s="42" t="inlineStr">
        <is>
          <t>Unavailable option disabled or explains remediation</t>
        </is>
      </c>
      <c r="J47" s="42" t="inlineStr">
        <is>
          <t>Screenshot</t>
        </is>
      </c>
      <c r="K47" s="42" t="inlineStr">
        <is>
          <t>Yes</t>
        </is>
      </c>
      <c r="L47" s="42" t="inlineStr">
        <is>
          <t>QA Automation</t>
        </is>
      </c>
      <c r="M47" s="42" t="inlineStr">
        <is>
          <t>Not Executed</t>
        </is>
      </c>
      <c r="N47" s="42" t="str"/>
    </row>
    <row r="48" ht="60" customHeight="1">
      <c r="A48" s="42" t="inlineStr">
        <is>
          <t>UAT-COMFY-020</t>
        </is>
      </c>
      <c r="B48" s="42" t="inlineStr">
        <is>
          <t>Comfy Picker</t>
        </is>
      </c>
      <c r="C48" s="42" t="inlineStr">
        <is>
          <t>P2</t>
        </is>
      </c>
      <c r="D48" s="42" t="inlineStr">
        <is>
          <t>Behavioral</t>
        </is>
      </c>
      <c r="E48" s="42" t="inlineStr">
        <is>
          <t>Current 17234f7 repair</t>
        </is>
      </c>
      <c r="F48" s="42" t="inlineStr">
        <is>
          <t>Source provenance</t>
        </is>
      </c>
      <c r="G48" s="42" t="inlineStr">
        <is>
          <t>Load local and packaged variants</t>
        </is>
      </c>
      <c r="H48" s="42" t="inlineStr">
        <is>
          <t>Inspect status</t>
        </is>
      </c>
      <c r="I48" s="42" t="inlineStr">
        <is>
          <t>Source/version/hash always visible</t>
        </is>
      </c>
      <c r="J48" s="42" t="inlineStr">
        <is>
          <t>Screenshot</t>
        </is>
      </c>
      <c r="K48" s="42" t="inlineStr">
        <is>
          <t>Yes</t>
        </is>
      </c>
      <c r="L48" s="42" t="inlineStr">
        <is>
          <t>QA Automation</t>
        </is>
      </c>
      <c r="M48" s="42" t="inlineStr">
        <is>
          <t>Not Executed</t>
        </is>
      </c>
      <c r="N48" s="42" t="str"/>
    </row>
    <row r="49" ht="60" customHeight="1">
      <c r="A49" s="42" t="inlineStr">
        <is>
          <t>UAT-COMFY-025</t>
        </is>
      </c>
      <c r="B49" s="42" t="inlineStr">
        <is>
          <t>Comfy Picker</t>
        </is>
      </c>
      <c r="C49" s="42" t="inlineStr">
        <is>
          <t>P2</t>
        </is>
      </c>
      <c r="D49" s="42" t="inlineStr">
        <is>
          <t>Behavioral</t>
        </is>
      </c>
      <c r="E49" s="42" t="inlineStr">
        <is>
          <t>Current / decision-dependent</t>
        </is>
      </c>
      <c r="F49" s="42" t="inlineStr">
        <is>
          <t>Accessible workflow state announcements</t>
        </is>
      </c>
      <c r="G49" s="42" t="inlineStr">
        <is>
          <t>Screen reader and bridge mock</t>
        </is>
      </c>
      <c r="H49" s="42" t="inlineStr">
        <is>
          <t>Select workflow; delay load; succeed; make dirty; fail retry; queue</t>
        </is>
      </c>
      <c r="I49" s="42" t="inlineStr">
        <is>
          <t>Selected/loading/loaded/dirty/failed/queued states are announced distinctly and match canvas state</t>
        </is>
      </c>
      <c r="J49" s="42" t="inlineStr">
        <is>
          <t>Screen-reader transcript and bridge log</t>
        </is>
      </c>
      <c r="K49" s="42" t="inlineStr">
        <is>
          <t>Yes</t>
        </is>
      </c>
      <c r="L49" s="42" t="inlineStr">
        <is>
          <t>Accessibility QA</t>
        </is>
      </c>
      <c r="M49" s="42" t="inlineStr">
        <is>
          <t>Not Executed</t>
        </is>
      </c>
      <c r="N49" s="42" t="str"/>
    </row>
    <row r="50" ht="60" customHeight="1">
      <c r="A50" s="42" t="inlineStr">
        <is>
          <t>UAT-COMFY-026</t>
        </is>
      </c>
      <c r="B50" s="42" t="inlineStr">
        <is>
          <t>Comfy Picker</t>
        </is>
      </c>
      <c r="C50" s="42" t="inlineStr">
        <is>
          <t>P2</t>
        </is>
      </c>
      <c r="D50" s="42" t="inlineStr">
        <is>
          <t>Behavioral</t>
        </is>
      </c>
      <c r="E50" s="42" t="inlineStr">
        <is>
          <t>Current / decision-dependent</t>
        </is>
      </c>
      <c r="F50" s="42" t="inlineStr">
        <is>
          <t>Workflow details drawer</t>
        </is>
      </c>
      <c r="G50" s="42" t="inlineStr">
        <is>
          <t>Workflows with distinct source/hash/readiness/dependency data</t>
        </is>
      </c>
      <c r="H50" s="42" t="inlineStr">
        <is>
          <t>Select each workflow; open/close details by mouse and keyboard</t>
        </is>
      </c>
      <c r="I50" s="42" t="inlineStr">
        <is>
          <t>Drawer shows complete provenance/dependencies, does not obscure canvas unnecessarily, and returns focus</t>
        </is>
      </c>
      <c r="J50" s="42" t="inlineStr">
        <is>
          <t>Screenshots and keyboard recording</t>
        </is>
      </c>
      <c r="K50" s="42" t="inlineStr">
        <is>
          <t>Yes</t>
        </is>
      </c>
      <c r="L50" s="42" t="inlineStr">
        <is>
          <t>QA Automation</t>
        </is>
      </c>
      <c r="M50" s="42" t="inlineStr">
        <is>
          <t>Not Executed</t>
        </is>
      </c>
      <c r="N50" s="42" t="str"/>
    </row>
    <row r="51" ht="60" customHeight="1">
      <c r="A51" s="42" t="inlineStr">
        <is>
          <t>UAT-COMFY-027</t>
        </is>
      </c>
      <c r="B51" s="42" t="inlineStr">
        <is>
          <t>Comfy Picker</t>
        </is>
      </c>
      <c r="C51" s="42" t="inlineStr">
        <is>
          <t>P2</t>
        </is>
      </c>
      <c r="D51" s="42" t="inlineStr">
        <is>
          <t>Behavioral</t>
        </is>
      </c>
      <c r="E51" s="42" t="inlineStr">
        <is>
          <t>Current / decision-dependent</t>
        </is>
      </c>
      <c r="F51" s="42" t="inlineStr">
        <is>
          <t>Search/filter/source popover</t>
        </is>
      </c>
      <c r="G51" s="42" t="inlineStr">
        <is>
          <t>Large mixed packaged/local/catalog library</t>
        </is>
      </c>
      <c r="H51" s="42" t="inlineStr">
        <is>
          <t>Search multi-token text; filter source/readiness/type; clear; reopen</t>
        </is>
      </c>
      <c r="I51" s="42" t="inlineStr">
        <is>
          <t>Results are fast, counts accurate, controls persist per spec, and active filters are visible</t>
        </is>
      </c>
      <c r="J51" s="42" t="inlineStr">
        <is>
          <t>Performance trace and screenshots</t>
        </is>
      </c>
      <c r="K51" s="42" t="inlineStr">
        <is>
          <t>Yes</t>
        </is>
      </c>
      <c r="L51" s="42" t="inlineStr">
        <is>
          <t>QA Automation</t>
        </is>
      </c>
      <c r="M51" s="42" t="inlineStr">
        <is>
          <t>Not Executed</t>
        </is>
      </c>
      <c r="N51" s="42" t="str"/>
    </row>
    <row r="52" ht="60" customHeight="1">
      <c r="A52" s="42" t="inlineStr">
        <is>
          <t>UAT-COMFY-028</t>
        </is>
      </c>
      <c r="B52" s="42" t="inlineStr">
        <is>
          <t>Comfy Picker</t>
        </is>
      </c>
      <c r="C52" s="42" t="inlineStr">
        <is>
          <t>P2</t>
        </is>
      </c>
      <c r="D52" s="42" t="inlineStr">
        <is>
          <t>Behavioral</t>
        </is>
      </c>
      <c r="E52" s="42" t="inlineStr">
        <is>
          <t>Current / decision-dependent</t>
        </is>
      </c>
      <c r="F52" s="42" t="inlineStr">
        <is>
          <t>Container focus/dismiss and iframe stacking</t>
        </is>
      </c>
      <c r="G52" s="42" t="inlineStr">
        <is>
          <t>Workflow details drawer, filters popover, confirmation modal, embedded iframe</t>
        </is>
      </c>
      <c r="H52" s="42" t="inlineStr">
        <is>
          <t>Open nested states; use Escape/outside click; resize; trigger dirty confirmation</t>
        </is>
      </c>
      <c r="I52" s="42" t="inlineStr">
        <is>
          <t>Correct layer order, focus trap where modal, focus return, background inertness, no click-through to iframe</t>
        </is>
      </c>
      <c r="J52" s="42" t="inlineStr">
        <is>
          <t>Screen recording and accessibility tree</t>
        </is>
      </c>
      <c r="K52" s="42" t="inlineStr">
        <is>
          <t>Yes</t>
        </is>
      </c>
      <c r="L52" s="42" t="inlineStr">
        <is>
          <t>QA Automation</t>
        </is>
      </c>
      <c r="M52" s="42" t="inlineStr">
        <is>
          <t>Not Executed</t>
        </is>
      </c>
      <c r="N52" s="42" t="str"/>
    </row>
    <row r="53" ht="60" customHeight="1">
      <c r="A53" s="42" t="inlineStr">
        <is>
          <t>UAT-UX-003</t>
        </is>
      </c>
      <c r="B53" s="42" t="inlineStr">
        <is>
          <t>Declutter / Comfy</t>
        </is>
      </c>
      <c r="C53" s="42" t="inlineStr">
        <is>
          <t>P2</t>
        </is>
      </c>
      <c r="D53" s="42" t="inlineStr">
        <is>
          <t>Behavioral</t>
        </is>
      </c>
      <c r="E53" s="42" t="inlineStr">
        <is>
          <t>Current / decision-dependent</t>
        </is>
      </c>
      <c r="F53" s="42" t="inlineStr">
        <is>
          <t>Workflow picker—not accidental asset gallery</t>
        </is>
      </c>
      <c r="G53" s="42" t="inlineStr">
        <is>
          <t>Current workflow-picker scope approved</t>
        </is>
      </c>
      <c r="H53" s="42" t="inlineStr">
        <is>
          <t>Search/select/load; inspect details; filter; queue</t>
        </is>
      </c>
      <c r="I53" s="42" t="inlineStr">
        <is>
          <t>Main toolbar remains minimal; workflow identity/state is clear; gallery-only requirements are absent unless separately approved</t>
        </is>
      </c>
      <c r="J53" s="42" t="inlineStr">
        <is>
          <t>Screenshots and product-spec reference</t>
        </is>
      </c>
      <c r="K53" s="42" t="inlineStr">
        <is>
          <t>Yes</t>
        </is>
      </c>
      <c r="L53" s="42" t="inlineStr">
        <is>
          <t>UX QA</t>
        </is>
      </c>
      <c r="M53" s="42" t="inlineStr">
        <is>
          <t>Not Executed</t>
        </is>
      </c>
      <c r="N53" s="42" t="str"/>
    </row>
    <row r="54" ht="60" customHeight="1">
      <c r="A54" s="42" t="inlineStr">
        <is>
          <t>UAT-UX-002</t>
        </is>
      </c>
      <c r="B54" s="42" t="inlineStr">
        <is>
          <t>Declutter / Folder Drop</t>
        </is>
      </c>
      <c r="C54" s="42" t="inlineStr">
        <is>
          <t>P2</t>
        </is>
      </c>
      <c r="D54" s="42" t="inlineStr">
        <is>
          <t>Behavioral</t>
        </is>
      </c>
      <c r="E54" s="42" t="inlineStr">
        <is>
          <t>Current / decision-dependent</t>
        </is>
      </c>
      <c r="F54" s="42" t="inlineStr">
        <is>
          <t>Minimal drop target with progressive feedback</t>
        </is>
      </c>
      <c r="G54" s="42" t="inlineStr">
        <is>
          <t>Declutter implementation complete</t>
        </is>
      </c>
      <c r="H54" s="42" t="inlineStr">
        <is>
          <t>Idle, drag valid/invalid, open options, import, cancel, partial result, retry</t>
        </is>
      </c>
      <c r="I54" s="42" t="inlineStr">
        <is>
          <t>Drop target stays quiet while options/progress/results appear in the correct containers</t>
        </is>
      </c>
      <c r="J54" s="42" t="inlineStr">
        <is>
          <t>Screen recording</t>
        </is>
      </c>
      <c r="K54" s="42" t="inlineStr">
        <is>
          <t>Yes</t>
        </is>
      </c>
      <c r="L54" s="42" t="inlineStr">
        <is>
          <t>UX QA</t>
        </is>
      </c>
      <c r="M54" s="42" t="inlineStr">
        <is>
          <t>Not Executed</t>
        </is>
      </c>
      <c r="N54" s="42" t="str"/>
    </row>
    <row r="55" ht="60" customHeight="1">
      <c r="A55" s="42" t="inlineStr">
        <is>
          <t>UAT-UX-001</t>
        </is>
      </c>
      <c r="B55" s="42" t="inlineStr">
        <is>
          <t>Declutter / Sequence</t>
        </is>
      </c>
      <c r="C55" s="42" t="inlineStr">
        <is>
          <t>P2</t>
        </is>
      </c>
      <c r="D55" s="42" t="inlineStr">
        <is>
          <t>Behavioral</t>
        </is>
      </c>
      <c r="E55" s="42" t="inlineStr">
        <is>
          <t>Current / decision-dependent</t>
        </is>
      </c>
      <c r="F55" s="42" t="inlineStr">
        <is>
          <t>Quiet primary sequence surface</t>
        </is>
      </c>
      <c r="G55" s="42" t="inlineStr">
        <is>
          <t>Declutter implementation complete</t>
        </is>
      </c>
      <c r="H55" s="42" t="inlineStr">
        <is>
          <t>Review and switch takes; open details/manage/advanced/A-B only when needed</t>
        </is>
      </c>
      <c r="I55" s="42" t="inlineStr">
        <is>
          <t>Permanent surface contains only approved primary controls; all secondary power is one intentional action away</t>
        </is>
      </c>
      <c r="J55" s="42" t="inlineStr">
        <is>
          <t>Before/after screenshots and task recording</t>
        </is>
      </c>
      <c r="K55" s="42" t="inlineStr">
        <is>
          <t>Yes</t>
        </is>
      </c>
      <c r="L55" s="42" t="inlineStr">
        <is>
          <t>UX QA</t>
        </is>
      </c>
      <c r="M55" s="42" t="inlineStr">
        <is>
          <t>Not Executed</t>
        </is>
      </c>
      <c r="N55" s="42" t="str"/>
    </row>
    <row r="56" ht="60" customHeight="1">
      <c r="A56" s="42" t="inlineStr">
        <is>
          <t>UAT-DROP-005</t>
        </is>
      </c>
      <c r="B56" s="42" t="inlineStr">
        <is>
          <t>Folder Drop</t>
        </is>
      </c>
      <c r="C56" s="42" t="inlineStr">
        <is>
          <t>P2</t>
        </is>
      </c>
      <c r="D56" s="42" t="inlineStr">
        <is>
          <t>Behavioral</t>
        </is>
      </c>
      <c r="E56" s="42" t="inlineStr">
        <is>
          <t>Current 17234f7 repair</t>
        </is>
      </c>
      <c r="F56" s="42" t="inlineStr">
        <is>
          <t>Deep folder scan</t>
        </is>
      </c>
      <c r="G56" s="42" t="inlineStr">
        <is>
          <t>10-level tree, 1,000 files</t>
        </is>
      </c>
      <c r="H56" s="42" t="inlineStr">
        <is>
          <t>Drop root</t>
        </is>
      </c>
      <c r="I56" s="42" t="inlineStr">
        <is>
          <t>Immediate scan feedback, stable progress, no hang</t>
        </is>
      </c>
      <c r="J56" s="42" t="inlineStr">
        <is>
          <t>Screen recording/performance</t>
        </is>
      </c>
      <c r="K56" s="42" t="inlineStr">
        <is>
          <t>Partial</t>
        </is>
      </c>
      <c r="L56" s="42" t="inlineStr">
        <is>
          <t>QA Automation</t>
        </is>
      </c>
      <c r="M56" s="42" t="inlineStr">
        <is>
          <t>Not Executed</t>
        </is>
      </c>
      <c r="N56" s="42" t="str"/>
    </row>
    <row r="57" ht="60" customHeight="1">
      <c r="A57" s="42" t="inlineStr">
        <is>
          <t>UAT-DROP-006</t>
        </is>
      </c>
      <c r="B57" s="42" t="inlineStr">
        <is>
          <t>Folder Drop</t>
        </is>
      </c>
      <c r="C57" s="42" t="inlineStr">
        <is>
          <t>P2</t>
        </is>
      </c>
      <c r="D57" s="42" t="inlineStr">
        <is>
          <t>Behavioral</t>
        </is>
      </c>
      <c r="E57" s="42" t="inlineStr">
        <is>
          <t>Current 17234f7 repair</t>
        </is>
      </c>
      <c r="F57" s="42" t="inlineStr">
        <is>
          <t>Cancel import</t>
        </is>
      </c>
      <c r="G57" s="42" t="inlineStr">
        <is>
          <t>100 large media files</t>
        </is>
      </c>
      <c r="H57" s="42" t="inlineStr">
        <is>
          <t>Drop; cancel at 30%</t>
        </is>
      </c>
      <c r="I57" s="42" t="inlineStr">
        <is>
          <t>No new work starts; partial results clear; metadata consistent</t>
        </is>
      </c>
      <c r="J57" s="42" t="inlineStr">
        <is>
          <t>Disk listing/document diff</t>
        </is>
      </c>
      <c r="K57" s="42" t="inlineStr">
        <is>
          <t>Partial</t>
        </is>
      </c>
      <c r="L57" s="42" t="inlineStr">
        <is>
          <t>QA Automation</t>
        </is>
      </c>
      <c r="M57" s="42" t="inlineStr">
        <is>
          <t>Not Executed</t>
        </is>
      </c>
      <c r="N57" s="42" t="str"/>
    </row>
    <row r="58" ht="60" customHeight="1">
      <c r="A58" s="42" t="inlineStr">
        <is>
          <t>UAT-DROP-007</t>
        </is>
      </c>
      <c r="B58" s="42" t="inlineStr">
        <is>
          <t>Folder Drop</t>
        </is>
      </c>
      <c r="C58" s="42" t="inlineStr">
        <is>
          <t>P2</t>
        </is>
      </c>
      <c r="D58" s="42" t="inlineStr">
        <is>
          <t>Behavioral</t>
        </is>
      </c>
      <c r="E58" s="42" t="inlineStr">
        <is>
          <t>Current 17234f7 repair</t>
        </is>
      </c>
      <c r="F58" s="42" t="inlineStr">
        <is>
          <t>Mixed file and folder payload</t>
        </is>
      </c>
      <c r="G58" s="42" t="inlineStr">
        <is>
          <t>Drag a folder plus loose files</t>
        </is>
      </c>
      <c r="H58" s="42" t="inlineStr">
        <is>
          <t>Drop once</t>
        </is>
      </c>
      <c r="I58" s="42" t="inlineStr">
        <is>
          <t>Every eligible item imported exactly once</t>
        </is>
      </c>
      <c r="J58" s="42" t="inlineStr">
        <is>
          <t>Hash manifest</t>
        </is>
      </c>
      <c r="K58" s="42" t="inlineStr">
        <is>
          <t>Partial</t>
        </is>
      </c>
      <c r="L58" s="42" t="inlineStr">
        <is>
          <t>QA Automation</t>
        </is>
      </c>
      <c r="M58" s="42" t="inlineStr">
        <is>
          <t>Not Executed</t>
        </is>
      </c>
      <c r="N58" s="42" t="str"/>
    </row>
    <row r="59" ht="60" customHeight="1">
      <c r="A59" s="42" t="inlineStr">
        <is>
          <t>UAT-DROP-008</t>
        </is>
      </c>
      <c r="B59" s="42" t="inlineStr">
        <is>
          <t>Folder Drop</t>
        </is>
      </c>
      <c r="C59" s="42" t="inlineStr">
        <is>
          <t>P2</t>
        </is>
      </c>
      <c r="D59" s="42" t="inlineStr">
        <is>
          <t>Behavioral</t>
        </is>
      </c>
      <c r="E59" s="42" t="inlineStr">
        <is>
          <t>Current 17234f7 repair</t>
        </is>
      </c>
      <c r="F59" s="42" t="inlineStr">
        <is>
          <t>Duplicate re-drop</t>
        </is>
      </c>
      <c r="G59" s="42" t="inlineStr">
        <is>
          <t>Import same folder twice</t>
        </is>
      </c>
      <c r="H59" s="42" t="inlineStr">
        <is>
          <t>Drop second time</t>
        </is>
      </c>
      <c r="I59" s="42" t="inlineStr">
        <is>
          <t>Duplicate policy is offered; no silent copies</t>
        </is>
      </c>
      <c r="J59" s="42" t="inlineStr">
        <is>
          <t>Disk/document diff</t>
        </is>
      </c>
      <c r="K59" s="42" t="inlineStr">
        <is>
          <t>Partial</t>
        </is>
      </c>
      <c r="L59" s="42" t="inlineStr">
        <is>
          <t>QA Automation</t>
        </is>
      </c>
      <c r="M59" s="42" t="inlineStr">
        <is>
          <t>Not Executed</t>
        </is>
      </c>
      <c r="N59" s="42" t="str"/>
    </row>
    <row r="60" ht="60" customHeight="1">
      <c r="A60" s="42" t="inlineStr">
        <is>
          <t>UAT-DROP-009</t>
        </is>
      </c>
      <c r="B60" s="42" t="inlineStr">
        <is>
          <t>Folder Drop</t>
        </is>
      </c>
      <c r="C60" s="42" t="inlineStr">
        <is>
          <t>P2</t>
        </is>
      </c>
      <c r="D60" s="42" t="inlineStr">
        <is>
          <t>Behavioral</t>
        </is>
      </c>
      <c r="E60" s="42" t="inlineStr">
        <is>
          <t>Current 17234f7 repair</t>
        </is>
      </c>
      <c r="F60" s="42" t="inlineStr">
        <is>
          <t>Duplicate filenames in different folders</t>
        </is>
      </c>
      <c r="G60" s="42" t="inlineStr">
        <is>
          <t>A/x.wav and B/x.wav</t>
        </is>
      </c>
      <c r="H60" s="42" t="inlineStr">
        <is>
          <t>Drop root</t>
        </is>
      </c>
      <c r="I60" s="42" t="inlineStr">
        <is>
          <t>Both preserved with distinct provenance</t>
        </is>
      </c>
      <c r="J60" s="42" t="inlineStr">
        <is>
          <t>Metadata/disk listing</t>
        </is>
      </c>
      <c r="K60" s="42" t="inlineStr">
        <is>
          <t>Partial</t>
        </is>
      </c>
      <c r="L60" s="42" t="inlineStr">
        <is>
          <t>QA Automation</t>
        </is>
      </c>
      <c r="M60" s="42" t="inlineStr">
        <is>
          <t>Not Executed</t>
        </is>
      </c>
      <c r="N60" s="42" t="str"/>
    </row>
    <row r="61" ht="60" customHeight="1">
      <c r="A61" s="42" t="inlineStr">
        <is>
          <t>UAT-DROP-010</t>
        </is>
      </c>
      <c r="B61" s="42" t="inlineStr">
        <is>
          <t>Folder Drop</t>
        </is>
      </c>
      <c r="C61" s="42" t="inlineStr">
        <is>
          <t>P2</t>
        </is>
      </c>
      <c r="D61" s="42" t="inlineStr">
        <is>
          <t>Behavioral</t>
        </is>
      </c>
      <c r="E61" s="42" t="inlineStr">
        <is>
          <t>Current 17234f7 repair</t>
        </is>
      </c>
      <c r="F61" s="42" t="inlineStr">
        <is>
          <t>Concurrent drops</t>
        </is>
      </c>
      <c r="G61" s="42" t="inlineStr">
        <is>
          <t>Two folders dropped nearly simultaneously</t>
        </is>
      </c>
      <c r="H61" s="42" t="inlineStr">
        <is>
          <t>Start both imports</t>
        </is>
      </c>
      <c r="I61" s="42" t="inlineStr">
        <is>
          <t>No lost document updates or overwritten files</t>
        </is>
      </c>
      <c r="J61" s="42" t="inlineStr">
        <is>
          <t>Revision/import list</t>
        </is>
      </c>
      <c r="K61" s="42" t="inlineStr">
        <is>
          <t>Partial</t>
        </is>
      </c>
      <c r="L61" s="42" t="inlineStr">
        <is>
          <t>QA Automation</t>
        </is>
      </c>
      <c r="M61" s="42" t="inlineStr">
        <is>
          <t>Not Executed</t>
        </is>
      </c>
      <c r="N61" s="42" t="str"/>
    </row>
    <row r="62" ht="60" customHeight="1">
      <c r="A62" s="42" t="inlineStr">
        <is>
          <t>UAT-DROP-011</t>
        </is>
      </c>
      <c r="B62" s="42" t="inlineStr">
        <is>
          <t>Folder Drop</t>
        </is>
      </c>
      <c r="C62" s="42" t="inlineStr">
        <is>
          <t>P2</t>
        </is>
      </c>
      <c r="D62" s="42" t="inlineStr">
        <is>
          <t>Behavioral</t>
        </is>
      </c>
      <c r="E62" s="42" t="inlineStr">
        <is>
          <t>Current 17234f7 repair</t>
        </is>
      </c>
      <c r="F62" s="42" t="inlineStr">
        <is>
          <t>Timeline drop semantics</t>
        </is>
      </c>
      <c r="G62" s="42" t="inlineStr">
        <is>
          <t>Drag media onto exact timeline time</t>
        </is>
      </c>
      <c r="H62" s="42" t="inlineStr">
        <is>
          <t>Drop</t>
        </is>
      </c>
      <c r="I62" s="42" t="inlineStr">
        <is>
          <t>Preview/result matches target contract</t>
        </is>
      </c>
      <c r="J62" s="42" t="inlineStr">
        <is>
          <t>Screen recording</t>
        </is>
      </c>
      <c r="K62" s="42" t="inlineStr">
        <is>
          <t>Partial</t>
        </is>
      </c>
      <c r="L62" s="42" t="inlineStr">
        <is>
          <t>QA Automation</t>
        </is>
      </c>
      <c r="M62" s="42" t="inlineStr">
        <is>
          <t>Not Executed</t>
        </is>
      </c>
      <c r="N62" s="42" t="str"/>
    </row>
    <row r="63" ht="60" customHeight="1">
      <c r="A63" s="42" t="inlineStr">
        <is>
          <t>UAT-DROP-012</t>
        </is>
      </c>
      <c r="B63" s="42" t="inlineStr">
        <is>
          <t>Folder Drop</t>
        </is>
      </c>
      <c r="C63" s="42" t="inlineStr">
        <is>
          <t>P2</t>
        </is>
      </c>
      <c r="D63" s="42" t="inlineStr">
        <is>
          <t>Behavioral</t>
        </is>
      </c>
      <c r="E63" s="42" t="inlineStr">
        <is>
          <t>Current 17234f7 repair</t>
        </is>
      </c>
      <c r="F63" s="42" t="inlineStr">
        <is>
          <t>Relative path preservation</t>
        </is>
      </c>
      <c r="G63" s="42" t="inlineStr">
        <is>
          <t>Nested scene/take folders</t>
        </is>
      </c>
      <c r="H63" s="42" t="inlineStr">
        <is>
          <t>Import</t>
        </is>
      </c>
      <c r="I63" s="42" t="inlineStr">
        <is>
          <t>relativePath/group structure remains accessible</t>
        </is>
      </c>
      <c r="J63" s="42" t="inlineStr">
        <is>
          <t>Metadata export</t>
        </is>
      </c>
      <c r="K63" s="42" t="inlineStr">
        <is>
          <t>Partial</t>
        </is>
      </c>
      <c r="L63" s="42" t="inlineStr">
        <is>
          <t>QA Automation</t>
        </is>
      </c>
      <c r="M63" s="42" t="inlineStr">
        <is>
          <t>Not Executed</t>
        </is>
      </c>
      <c r="N63" s="42" t="str"/>
    </row>
    <row r="64" ht="60" customHeight="1">
      <c r="A64" s="42" t="inlineStr">
        <is>
          <t>UAT-DROP-013</t>
        </is>
      </c>
      <c r="B64" s="42" t="inlineStr">
        <is>
          <t>Folder Drop</t>
        </is>
      </c>
      <c r="C64" s="42" t="inlineStr">
        <is>
          <t>P2</t>
        </is>
      </c>
      <c r="D64" s="42" t="inlineStr">
        <is>
          <t>Behavioral</t>
        </is>
      </c>
      <c r="E64" s="42" t="inlineStr">
        <is>
          <t>Current 17234f7 repair</t>
        </is>
      </c>
      <c r="F64" s="42" t="inlineStr">
        <is>
          <t>Context preservation</t>
        </is>
      </c>
      <c r="G64" s="42" t="inlineStr">
        <is>
          <t>Filter set to one segment</t>
        </is>
      </c>
      <c r="H64" s="42" t="inlineStr">
        <is>
          <t>Drop unrelated media</t>
        </is>
      </c>
      <c r="I64" s="42" t="inlineStr">
        <is>
          <t>Filter/selection remains; Show imported is optional</t>
        </is>
      </c>
      <c r="J64" s="42" t="inlineStr">
        <is>
          <t>Screen recording</t>
        </is>
      </c>
      <c r="K64" s="42" t="inlineStr">
        <is>
          <t>Partial</t>
        </is>
      </c>
      <c r="L64" s="42" t="inlineStr">
        <is>
          <t>QA Automation</t>
        </is>
      </c>
      <c r="M64" s="42" t="inlineStr">
        <is>
          <t>Not Executed</t>
        </is>
      </c>
      <c r="N64" s="42" t="str"/>
    </row>
    <row r="65" ht="60" customHeight="1">
      <c r="A65" s="42" t="inlineStr">
        <is>
          <t>UAT-DROP-014</t>
        </is>
      </c>
      <c r="B65" s="42" t="inlineStr">
        <is>
          <t>Folder Drop</t>
        </is>
      </c>
      <c r="C65" s="42" t="inlineStr">
        <is>
          <t>P2</t>
        </is>
      </c>
      <c r="D65" s="42" t="inlineStr">
        <is>
          <t>Behavioral</t>
        </is>
      </c>
      <c r="E65" s="42" t="inlineStr">
        <is>
          <t>Current 17234f7 repair</t>
        </is>
      </c>
      <c r="F65" s="42" t="inlineStr">
        <is>
          <t>Failure-only retry</t>
        </is>
      </c>
      <c r="G65" s="42" t="inlineStr">
        <is>
          <t>One transient failure among successes</t>
        </is>
      </c>
      <c r="H65" s="42" t="inlineStr">
        <is>
          <t>Retry failures</t>
        </is>
      </c>
      <c r="I65" s="42" t="inlineStr">
        <is>
          <t>Only failed item is retried; no duplicates</t>
        </is>
      </c>
      <c r="J65" s="42" t="inlineStr">
        <is>
          <t>Request log</t>
        </is>
      </c>
      <c r="K65" s="42" t="inlineStr">
        <is>
          <t>Partial</t>
        </is>
      </c>
      <c r="L65" s="42" t="inlineStr">
        <is>
          <t>QA Automation</t>
        </is>
      </c>
      <c r="M65" s="42" t="inlineStr">
        <is>
          <t>Not Executed</t>
        </is>
      </c>
      <c r="N65" s="42" t="str"/>
    </row>
    <row r="66" ht="60" customHeight="1">
      <c r="A66" s="42" t="inlineStr">
        <is>
          <t>UAT-DROP-015</t>
        </is>
      </c>
      <c r="B66" s="42" t="inlineStr">
        <is>
          <t>Folder Drop</t>
        </is>
      </c>
      <c r="C66" s="42" t="inlineStr">
        <is>
          <t>P2</t>
        </is>
      </c>
      <c r="D66" s="42" t="inlineStr">
        <is>
          <t>Behavioral</t>
        </is>
      </c>
      <c r="E66" s="42" t="inlineStr">
        <is>
          <t>Current 17234f7 repair</t>
        </is>
      </c>
      <c r="F66" s="42" t="inlineStr">
        <is>
          <t>Browser compatibility</t>
        </is>
      </c>
      <c r="G66" s="42" t="inlineStr">
        <is>
          <t>Chrome, Edge, Firefox</t>
        </is>
      </c>
      <c r="H66" s="42" t="inlineStr">
        <is>
          <t>Repeat file/folder drops</t>
        </is>
      </c>
      <c r="I66" s="42" t="inlineStr">
        <is>
          <t>Supported behavior or explicit fallback guidance</t>
        </is>
      </c>
      <c r="J66" s="42" t="inlineStr">
        <is>
          <t>Browser matrix</t>
        </is>
      </c>
      <c r="K66" s="42" t="inlineStr">
        <is>
          <t>Partial</t>
        </is>
      </c>
      <c r="L66" s="42" t="inlineStr">
        <is>
          <t>QA Automation</t>
        </is>
      </c>
      <c r="M66" s="42" t="inlineStr">
        <is>
          <t>Not Executed</t>
        </is>
      </c>
      <c r="N66" s="42" t="str"/>
    </row>
    <row r="67" ht="60" customHeight="1">
      <c r="A67" s="42" t="inlineStr">
        <is>
          <t>UAT-DROP-016</t>
        </is>
      </c>
      <c r="B67" s="42" t="inlineStr">
        <is>
          <t>Folder Drop</t>
        </is>
      </c>
      <c r="C67" s="42" t="inlineStr">
        <is>
          <t>P2</t>
        </is>
      </c>
      <c r="D67" s="42" t="inlineStr">
        <is>
          <t>Behavioral</t>
        </is>
      </c>
      <c r="E67" s="42" t="inlineStr">
        <is>
          <t>Current 17234f7 repair</t>
        </is>
      </c>
      <c r="F67" s="42" t="inlineStr">
        <is>
          <t>Zero-byte and truncated files</t>
        </is>
      </c>
      <c r="G67" s="42" t="inlineStr">
        <is>
          <t>Malformed media fixtures</t>
        </is>
      </c>
      <c r="H67" s="42" t="inlineStr">
        <is>
          <t>Drop folder</t>
        </is>
      </c>
      <c r="I67" s="42" t="inlineStr">
        <is>
          <t>Rejected with clear reason, no server instability</t>
        </is>
      </c>
      <c r="J67" s="42" t="inlineStr">
        <is>
          <t>Import report/server log</t>
        </is>
      </c>
      <c r="K67" s="42" t="inlineStr">
        <is>
          <t>Partial</t>
        </is>
      </c>
      <c r="L67" s="42" t="inlineStr">
        <is>
          <t>QA Automation</t>
        </is>
      </c>
      <c r="M67" s="42" t="inlineStr">
        <is>
          <t>Not Executed</t>
        </is>
      </c>
      <c r="N67" s="42" t="str"/>
    </row>
    <row r="68" ht="60" customHeight="1">
      <c r="A68" s="42" t="inlineStr">
        <is>
          <t>UAT-DROP-021</t>
        </is>
      </c>
      <c r="B68" s="42" t="inlineStr">
        <is>
          <t>Folder Drop</t>
        </is>
      </c>
      <c r="C68" s="42" t="inlineStr">
        <is>
          <t>P2</t>
        </is>
      </c>
      <c r="D68" s="42" t="inlineStr">
        <is>
          <t>Behavioral</t>
        </is>
      </c>
      <c r="E68" s="42" t="inlineStr">
        <is>
          <t>Current / decision-dependent</t>
        </is>
      </c>
      <c r="F68" s="42" t="inlineStr">
        <is>
          <t>Drag feedback and nested target ownership</t>
        </is>
      </c>
      <c r="G68" s="42" t="inlineStr">
        <is>
          <t>Valid and invalid payloads; overlapping library/timeline/track zones</t>
        </is>
      </c>
      <c r="H68" s="42" t="inlineStr">
        <is>
          <t>Drag across targets; leave window; press Escape; drop invalid and valid payloads</t>
        </is>
      </c>
      <c r="I68" s="42" t="inlineStr">
        <is>
          <t>Only one destination is active; valid/invalid state is clear; all highlights clear after cancel/drop/error</t>
        </is>
      </c>
      <c r="J68" s="42" t="inlineStr">
        <is>
          <t>Screen recording</t>
        </is>
      </c>
      <c r="K68" s="42" t="inlineStr">
        <is>
          <t>Yes</t>
        </is>
      </c>
      <c r="L68" s="42" t="inlineStr">
        <is>
          <t>QA Automation</t>
        </is>
      </c>
      <c r="M68" s="42" t="inlineStr">
        <is>
          <t>Not Executed</t>
        </is>
      </c>
      <c r="N68" s="42" t="str"/>
    </row>
    <row r="69" ht="60" customHeight="1">
      <c r="A69" s="42" t="inlineStr">
        <is>
          <t>UAT-DROP-023</t>
        </is>
      </c>
      <c r="B69" s="42" t="inlineStr">
        <is>
          <t>Folder Drop</t>
        </is>
      </c>
      <c r="C69" s="42" t="inlineStr">
        <is>
          <t>P2</t>
        </is>
      </c>
      <c r="D69" s="42" t="inlineStr">
        <is>
          <t>Behavioral</t>
        </is>
      </c>
      <c r="E69" s="42" t="inlineStr">
        <is>
          <t>Current / decision-dependent</t>
        </is>
      </c>
      <c r="F69" s="42" t="inlineStr">
        <is>
          <t>Traversal edge matrix</t>
        </is>
      </c>
      <c r="G69" s="42" t="inlineStr">
        <is>
          <t>Empty folders, hidden/system files, unreadable folder, symlink/cycle fixture, extreme path</t>
        </is>
      </c>
      <c r="H69" s="42" t="inlineStr">
        <is>
          <t>Drop each fixture</t>
        </is>
      </c>
      <c r="I69" s="42" t="inlineStr">
        <is>
          <t>Operation terminates, supported entries import, skipped/rejected entries are counted with reasons, no path escape or loop</t>
        </is>
      </c>
      <c r="J69" s="42" t="inlineStr">
        <is>
          <t>Import report and filesystem manifest</t>
        </is>
      </c>
      <c r="K69" s="42" t="inlineStr">
        <is>
          <t>Partial</t>
        </is>
      </c>
      <c r="L69" s="42" t="inlineStr">
        <is>
          <t>QA Automation</t>
        </is>
      </c>
      <c r="M69" s="42" t="inlineStr">
        <is>
          <t>Not Executed</t>
        </is>
      </c>
      <c r="N69" s="42" t="str"/>
    </row>
    <row r="70" ht="60" customHeight="1">
      <c r="A70" s="42" t="inlineStr">
        <is>
          <t>UAT-DROP-024</t>
        </is>
      </c>
      <c r="B70" s="42" t="inlineStr">
        <is>
          <t>Folder Drop</t>
        </is>
      </c>
      <c r="C70" s="42" t="inlineStr">
        <is>
          <t>P2</t>
        </is>
      </c>
      <c r="D70" s="42" t="inlineStr">
        <is>
          <t>Behavioral</t>
        </is>
      </c>
      <c r="E70" s="42" t="inlineStr">
        <is>
          <t>Current / decision-dependent</t>
        </is>
      </c>
      <c r="F70" s="42" t="inlineStr">
        <is>
          <t>Preflight count/size/depth/quota</t>
        </is>
      </c>
      <c r="G70" s="42" t="inlineStr">
        <is>
          <t>Folder above configured count/byte/depth thresholds</t>
        </is>
      </c>
      <c r="H70" s="42" t="inlineStr">
        <is>
          <t>Drop; inspect preflight; cancel and confirm variants</t>
        </is>
      </c>
      <c r="I70" s="42" t="inlineStr">
        <is>
          <t>No upload begins before decision; totals are accurate; limits and quota impact are clear</t>
        </is>
      </c>
      <c r="J70" s="42" t="inlineStr">
        <is>
          <t>Preflight screenshot and request log</t>
        </is>
      </c>
      <c r="K70" s="42" t="inlineStr">
        <is>
          <t>Yes</t>
        </is>
      </c>
      <c r="L70" s="42" t="inlineStr">
        <is>
          <t>QA Automation</t>
        </is>
      </c>
      <c r="M70" s="42" t="inlineStr">
        <is>
          <t>Not Executed</t>
        </is>
      </c>
      <c r="N70" s="42" t="str"/>
    </row>
    <row r="71" ht="60" customHeight="1">
      <c r="A71" s="42" t="inlineStr">
        <is>
          <t>UAT-DROP-025</t>
        </is>
      </c>
      <c r="B71" s="42" t="inlineStr">
        <is>
          <t>Folder Drop</t>
        </is>
      </c>
      <c r="C71" s="42" t="inlineStr">
        <is>
          <t>P2</t>
        </is>
      </c>
      <c r="D71" s="42" t="inlineStr">
        <is>
          <t>Behavioral</t>
        </is>
      </c>
      <c r="E71" s="42" t="inlineStr">
        <is>
          <t>Current / decision-dependent</t>
        </is>
      </c>
      <c r="F71" s="42" t="inlineStr">
        <is>
          <t>Content signature validation</t>
        </is>
      </c>
      <c r="G71" s="42" t="inlineStr">
        <is>
          <t>Files with valid extension/wrong content plus valid controls</t>
        </is>
      </c>
      <c r="H71" s="42" t="inlineStr">
        <is>
          <t>Drop all fixtures</t>
        </is>
      </c>
      <c r="I71" s="42" t="inlineStr">
        <is>
          <t>Mismatches are rejected before permanent registration; valid files import</t>
        </is>
      </c>
      <c r="J71" s="42" t="inlineStr">
        <is>
          <t>Server detection log and import report</t>
        </is>
      </c>
      <c r="K71" s="42" t="inlineStr">
        <is>
          <t>Yes</t>
        </is>
      </c>
      <c r="L71" s="42" t="inlineStr">
        <is>
          <t>QA Automation</t>
        </is>
      </c>
      <c r="M71" s="42" t="inlineStr">
        <is>
          <t>Not Executed</t>
        </is>
      </c>
      <c r="N71" s="42" t="str"/>
    </row>
    <row r="72" ht="60" customHeight="1">
      <c r="A72" s="42" t="inlineStr">
        <is>
          <t>UAT-DROP-026</t>
        </is>
      </c>
      <c r="B72" s="42" t="inlineStr">
        <is>
          <t>Folder Drop</t>
        </is>
      </c>
      <c r="C72" s="42" t="inlineStr">
        <is>
          <t>P2</t>
        </is>
      </c>
      <c r="D72" s="42" t="inlineStr">
        <is>
          <t>Behavioral</t>
        </is>
      </c>
      <c r="E72" s="42" t="inlineStr">
        <is>
          <t>Current / decision-dependent</t>
        </is>
      </c>
      <c r="F72" s="42" t="inlineStr">
        <is>
          <t>Undo entire import</t>
        </is>
      </c>
      <c r="G72" s="42" t="inlineStr">
        <is>
          <t>Completed import with some files unused and some placed on timeline</t>
        </is>
      </c>
      <c r="H72" s="42" t="inlineStr">
        <is>
          <t>Invoke Undo import; choose safe/force options as offered</t>
        </is>
      </c>
      <c r="I72" s="42" t="inlineStr">
        <is>
          <t>Only job-created unreferenced files/metadata are removed; referenced media is protected or confirmed</t>
        </is>
      </c>
      <c r="J72" s="42" t="inlineStr">
        <is>
          <t>File manifest and document diff</t>
        </is>
      </c>
      <c r="K72" s="42" t="inlineStr">
        <is>
          <t>Yes</t>
        </is>
      </c>
      <c r="L72" s="42" t="inlineStr">
        <is>
          <t>QA Automation</t>
        </is>
      </c>
      <c r="M72" s="42" t="inlineStr">
        <is>
          <t>Not Executed</t>
        </is>
      </c>
      <c r="N72" s="42" t="str"/>
    </row>
    <row r="73" ht="60" customHeight="1">
      <c r="A73" s="42" t="inlineStr">
        <is>
          <t>UAT-DROP-027</t>
        </is>
      </c>
      <c r="B73" s="42" t="inlineStr">
        <is>
          <t>Folder Drop</t>
        </is>
      </c>
      <c r="C73" s="42" t="inlineStr">
        <is>
          <t>P2</t>
        </is>
      </c>
      <c r="D73" s="42" t="inlineStr">
        <is>
          <t>Behavioral</t>
        </is>
      </c>
      <c r="E73" s="42" t="inlineStr">
        <is>
          <t>Current / decision-dependent</t>
        </is>
      </c>
      <c r="F73" s="42" t="inlineStr">
        <is>
          <t>Drop during playback and edit conflict</t>
        </is>
      </c>
      <c r="G73" s="42" t="inlineStr">
        <is>
          <t>Sequence playing; second fixture with unresolved revision conflict</t>
        </is>
      </c>
      <c r="H73" s="42" t="inlineStr">
        <is>
          <t>Drop folder in both states</t>
        </is>
      </c>
      <c r="I73" s="42" t="inlineStr">
        <is>
          <t>Behavior matches policy; no hidden pause, lost edit, or import bypass of conflict</t>
        </is>
      </c>
      <c r="J73" s="42" t="inlineStr">
        <is>
          <t>Screen recording and document revision log</t>
        </is>
      </c>
      <c r="K73" s="42" t="inlineStr">
        <is>
          <t>Yes</t>
        </is>
      </c>
      <c r="L73" s="42" t="inlineStr">
        <is>
          <t>QA Automation</t>
        </is>
      </c>
      <c r="M73" s="42" t="inlineStr">
        <is>
          <t>Not Executed</t>
        </is>
      </c>
      <c r="N73" s="42" t="str"/>
    </row>
    <row r="74" ht="60" customHeight="1">
      <c r="A74" s="42" t="inlineStr">
        <is>
          <t>UAT-DROP-028</t>
        </is>
      </c>
      <c r="B74" s="42" t="inlineStr">
        <is>
          <t>Folder Drop</t>
        </is>
      </c>
      <c r="C74" s="42" t="inlineStr">
        <is>
          <t>P2</t>
        </is>
      </c>
      <c r="D74" s="42" t="inlineStr">
        <is>
          <t>Behavioral</t>
        </is>
      </c>
      <c r="E74" s="42" t="inlineStr">
        <is>
          <t>Current / decision-dependent</t>
        </is>
      </c>
      <c r="F74" s="42" t="inlineStr">
        <is>
          <t>Durable import recovery</t>
        </is>
      </c>
      <c r="G74" s="42" t="inlineStr">
        <is>
          <t>Large import job</t>
        </is>
      </c>
      <c r="H74" s="42" t="inlineStr">
        <is>
          <t>Refresh app and restart service at scan/import/registration stages</t>
        </is>
      </c>
      <c r="I74" s="42" t="inlineStr">
        <is>
          <t>Same job and exact per-file terminal states restore; retry/cancel remains safe</t>
        </is>
      </c>
      <c r="J74" s="42" t="inlineStr">
        <is>
          <t>Job store, file manifest, UI recording</t>
        </is>
      </c>
      <c r="K74" s="42" t="inlineStr">
        <is>
          <t>Yes</t>
        </is>
      </c>
      <c r="L74" s="42" t="inlineStr">
        <is>
          <t>QA Automation</t>
        </is>
      </c>
      <c r="M74" s="42" t="inlineStr">
        <is>
          <t>Not Executed</t>
        </is>
      </c>
      <c r="N74" s="42" t="str"/>
    </row>
    <row r="75" ht="60" customHeight="1">
      <c r="A75" s="42" t="inlineStr">
        <is>
          <t>UAT-DROP-029</t>
        </is>
      </c>
      <c r="B75" s="42" t="inlineStr">
        <is>
          <t>Folder Drop</t>
        </is>
      </c>
      <c r="C75" s="42" t="inlineStr">
        <is>
          <t>P2</t>
        </is>
      </c>
      <c r="D75" s="42" t="inlineStr">
        <is>
          <t>Behavioral</t>
        </is>
      </c>
      <c r="E75" s="42" t="inlineStr">
        <is>
          <t>Current / decision-dependent</t>
        </is>
      </c>
      <c r="F75" s="42" t="inlineStr">
        <is>
          <t>Network/read-only/disconnect source failures</t>
        </is>
      </c>
      <c r="G75" s="42" t="inlineStr">
        <is>
          <t>Network share or removable/read-only source</t>
        </is>
      </c>
      <c r="H75" s="42" t="inlineStr">
        <is>
          <t>Start import; disconnect or revoke access midway</t>
        </is>
      </c>
      <c r="I75" s="42" t="inlineStr">
        <is>
          <t>Structured partial result, no server crash, valid completed files remain registered, retry path is clear</t>
        </is>
      </c>
      <c r="J75" s="42" t="inlineStr">
        <is>
          <t>Import report and server log</t>
        </is>
      </c>
      <c r="K75" s="42" t="inlineStr">
        <is>
          <t>Partial</t>
        </is>
      </c>
      <c r="L75" s="42" t="inlineStr">
        <is>
          <t>Manual QA + Backend</t>
        </is>
      </c>
      <c r="M75" s="42" t="inlineStr">
        <is>
          <t>Not Executed</t>
        </is>
      </c>
      <c r="N75" s="42" t="str"/>
    </row>
    <row r="76" ht="60" customHeight="1">
      <c r="A76" s="42" t="inlineStr">
        <is>
          <t>UAT-PERF-001</t>
        </is>
      </c>
      <c r="B76" s="42" t="inlineStr">
        <is>
          <t>Performance</t>
        </is>
      </c>
      <c r="C76" s="42" t="inlineStr">
        <is>
          <t>P2</t>
        </is>
      </c>
      <c r="D76" s="42" t="inlineStr">
        <is>
          <t>Behavioral</t>
        </is>
      </c>
      <c r="E76" s="42" t="inlineStr">
        <is>
          <t>Current / decision-dependent</t>
        </is>
      </c>
      <c r="F76" s="42" t="inlineStr">
        <is>
          <t>4K scrubbing performance budget</t>
        </is>
      </c>
      <c r="G76" s="42" t="inlineStr">
        <is>
          <t>Representative workstation and long 4K edit</t>
        </is>
      </c>
      <c r="H76" s="42" t="inlineStr">
        <is>
          <t>Scrub continuously; seek across cuts; record performance</t>
        </is>
      </c>
      <c r="I76" s="42" t="inlineStr">
        <is>
          <t>Seek latency, frame drops, CPU, memory, and responsiveness meet approved thresholds</t>
        </is>
      </c>
      <c r="J76" s="42" t="inlineStr">
        <is>
          <t>Browser performance trace and workstation metrics</t>
        </is>
      </c>
      <c r="K76" s="42" t="inlineStr">
        <is>
          <t>Yes</t>
        </is>
      </c>
      <c r="L76" s="42" t="inlineStr">
        <is>
          <t>QA Automation</t>
        </is>
      </c>
      <c r="M76" s="42" t="inlineStr">
        <is>
          <t>Not Executed</t>
        </is>
      </c>
      <c r="N76" s="42" t="str"/>
    </row>
    <row r="77" ht="60" customHeight="1">
      <c r="A77" s="42" t="inlineStr">
        <is>
          <t>UAT-PERF-002</t>
        </is>
      </c>
      <c r="B77" s="42" t="inlineStr">
        <is>
          <t>Performance</t>
        </is>
      </c>
      <c r="C77" s="42" t="inlineStr">
        <is>
          <t>P2</t>
        </is>
      </c>
      <c r="D77" s="42" t="inlineStr">
        <is>
          <t>Behavioral</t>
        </is>
      </c>
      <c r="E77" s="42" t="inlineStr">
        <is>
          <t>Current / decision-dependent</t>
        </is>
      </c>
      <c r="F77" s="42" t="inlineStr">
        <is>
          <t>Large import performance budget</t>
        </is>
      </c>
      <c r="G77" s="42" t="inlineStr">
        <is>
          <t>Representative workstation and 10,000-entry folder with bounded eligible media</t>
        </is>
      </c>
      <c r="H77" s="42" t="inlineStr">
        <is>
          <t>Scan/preflight/import sample or approved scale fixture</t>
        </is>
      </c>
      <c r="I77" s="42" t="inlineStr">
        <is>
          <t>Time-to-feedback, memory, event-loop delay, and cancellation meet thresholds</t>
        </is>
      </c>
      <c r="J77" s="42" t="inlineStr">
        <is>
          <t>Client/server performance traces</t>
        </is>
      </c>
      <c r="K77" s="42" t="inlineStr">
        <is>
          <t>Yes</t>
        </is>
      </c>
      <c r="L77" s="42" t="inlineStr">
        <is>
          <t>QA Automation</t>
        </is>
      </c>
      <c r="M77" s="42" t="inlineStr">
        <is>
          <t>Not Executed</t>
        </is>
      </c>
      <c r="N77" s="42" t="str"/>
    </row>
    <row r="78" ht="60" customHeight="1">
      <c r="A78" s="42" t="inlineStr">
        <is>
          <t>UAT-PERF-003</t>
        </is>
      </c>
      <c r="B78" s="42" t="inlineStr">
        <is>
          <t>Performance</t>
        </is>
      </c>
      <c r="C78" s="42" t="inlineStr">
        <is>
          <t>P2</t>
        </is>
      </c>
      <c r="D78" s="42" t="inlineStr">
        <is>
          <t>Behavioral</t>
        </is>
      </c>
      <c r="E78" s="42" t="inlineStr">
        <is>
          <t>Current / decision-dependent</t>
        </is>
      </c>
      <c r="F78" s="42" t="inlineStr">
        <is>
          <t>Large workflow library performance budget</t>
        </is>
      </c>
      <c r="G78" s="42" t="inlineStr">
        <is>
          <t>5,000-workflow manifest and large graph</t>
        </is>
      </c>
      <c r="H78" s="42" t="inlineStr">
        <is>
          <t>Open/search/filter/load/reload repeatedly</t>
        </is>
      </c>
      <c r="I78" s="42" t="inlineStr">
        <is>
          <t>Index/search/load latency and server event-loop delay meet thresholds</t>
        </is>
      </c>
      <c r="J78" s="42" t="inlineStr">
        <is>
          <t>Performance trace and bridge timings</t>
        </is>
      </c>
      <c r="K78" s="42" t="inlineStr">
        <is>
          <t>Yes</t>
        </is>
      </c>
      <c r="L78" s="42" t="inlineStr">
        <is>
          <t>QA Automation</t>
        </is>
      </c>
      <c r="M78" s="42" t="inlineStr">
        <is>
          <t>Not Executed</t>
        </is>
      </c>
      <c r="N78" s="42" t="str"/>
    </row>
    <row r="79" ht="60" customHeight="1">
      <c r="A79" s="42" t="inlineStr">
        <is>
          <t>UAT-REG-011</t>
        </is>
      </c>
      <c r="B79" s="42" t="inlineStr">
        <is>
          <t>Platform Support</t>
        </is>
      </c>
      <c r="C79" s="42" t="inlineStr">
        <is>
          <t>P2</t>
        </is>
      </c>
      <c r="D79" s="42" t="inlineStr">
        <is>
          <t>Behavioral</t>
        </is>
      </c>
      <c r="E79" s="42" t="inlineStr">
        <is>
          <t>Current / decision-dependent</t>
        </is>
      </c>
      <c r="F79" s="42" t="inlineStr">
        <is>
          <t>Supported browser/OS matrix</t>
        </is>
      </c>
      <c r="G79" s="42" t="inlineStr">
        <is>
          <t>Approved support ADR</t>
        </is>
      </c>
      <c r="H79" s="42" t="inlineStr">
        <is>
          <t>Run primary smoke on each supported combination and one known unsupported combination</t>
        </is>
      </c>
      <c r="I79" s="42" t="inlineStr">
        <is>
          <t>Supported matrix passes; unsupported environment receives clear guidance</t>
        </is>
      </c>
      <c r="J79" s="42" t="inlineStr">
        <is>
          <t>Matrix results and screenshots</t>
        </is>
      </c>
      <c r="K79" s="42" t="inlineStr">
        <is>
          <t>Partial</t>
        </is>
      </c>
      <c r="L79" s="42" t="inlineStr">
        <is>
          <t>QA + DevOps</t>
        </is>
      </c>
      <c r="M79" s="42" t="inlineStr">
        <is>
          <t>Not Executed</t>
        </is>
      </c>
      <c r="N79" s="42" t="str"/>
    </row>
    <row r="80" ht="60" customHeight="1">
      <c r="A80" s="42" t="inlineStr">
        <is>
          <t>UAT-PLAY-006</t>
        </is>
      </c>
      <c r="B80" s="42" t="inlineStr">
        <is>
          <t>Playback</t>
        </is>
      </c>
      <c r="C80" s="42" t="inlineStr">
        <is>
          <t>P2</t>
        </is>
      </c>
      <c r="D80" s="42" t="inlineStr">
        <is>
          <t>Behavioral</t>
        </is>
      </c>
      <c r="E80" s="42" t="inlineStr">
        <is>
          <t>Current 17234f7 repair</t>
        </is>
      </c>
      <c r="F80" s="42" t="inlineStr">
        <is>
          <t>Play rejection</t>
        </is>
      </c>
      <c r="G80" s="42" t="inlineStr">
        <is>
          <t>Force autoplay/device rejection</t>
        </is>
      </c>
      <c r="H80" s="42" t="inlineStr">
        <is>
          <t>Press Play</t>
        </is>
      </c>
      <c r="I80" s="42" t="inlineStr">
        <is>
          <t>Persistent actionable error; no silent stop</t>
        </is>
      </c>
      <c r="J80" s="42" t="inlineStr">
        <is>
          <t>Screenshot and console</t>
        </is>
      </c>
      <c r="K80" s="42" t="inlineStr">
        <is>
          <t>Partial</t>
        </is>
      </c>
      <c r="L80" s="42" t="inlineStr">
        <is>
          <t>QA Automation</t>
        </is>
      </c>
      <c r="M80" s="42" t="inlineStr">
        <is>
          <t>Not Executed</t>
        </is>
      </c>
      <c r="N80" s="42" t="str"/>
    </row>
    <row r="81" ht="60" customHeight="1">
      <c r="A81" s="42" t="inlineStr">
        <is>
          <t>UAT-PLAY-007</t>
        </is>
      </c>
      <c r="B81" s="42" t="inlineStr">
        <is>
          <t>Playback</t>
        </is>
      </c>
      <c r="C81" s="42" t="inlineStr">
        <is>
          <t>P2</t>
        </is>
      </c>
      <c r="D81" s="42" t="inlineStr">
        <is>
          <t>Behavioral</t>
        </is>
      </c>
      <c r="E81" s="42" t="inlineStr">
        <is>
          <t>Current 17234f7 repair</t>
        </is>
      </c>
      <c r="F81" s="42" t="inlineStr">
        <is>
          <t>Missing program media</t>
        </is>
      </c>
      <c r="G81" s="42" t="inlineStr">
        <is>
          <t>Remove/move one source</t>
        </is>
      </c>
      <c r="H81" s="42" t="inlineStr">
        <is>
          <t>Play into missing clip</t>
        </is>
      </c>
      <c r="I81" s="42" t="inlineStr">
        <is>
          <t>Clear missing/relink state; transport behavior predictable</t>
        </is>
      </c>
      <c r="J81" s="42" t="inlineStr">
        <is>
          <t>Screenshot and network log</t>
        </is>
      </c>
      <c r="K81" s="42" t="inlineStr">
        <is>
          <t>Partial</t>
        </is>
      </c>
      <c r="L81" s="42" t="inlineStr">
        <is>
          <t>QA Automation</t>
        </is>
      </c>
      <c r="M81" s="42" t="inlineStr">
        <is>
          <t>Not Executed</t>
        </is>
      </c>
      <c r="N81" s="42" t="str"/>
    </row>
    <row r="82" ht="60" customHeight="1">
      <c r="A82" s="42" t="inlineStr">
        <is>
          <t>UAT-PLAY-008</t>
        </is>
      </c>
      <c r="B82" s="42" t="inlineStr">
        <is>
          <t>Playback</t>
        </is>
      </c>
      <c r="C82" s="42" t="inlineStr">
        <is>
          <t>P2</t>
        </is>
      </c>
      <c r="D82" s="42" t="inlineStr">
        <is>
          <t>Behavioral</t>
        </is>
      </c>
      <c r="E82" s="42" t="inlineStr">
        <is>
          <t>Current 17234f7 repair</t>
        </is>
      </c>
      <c r="F82" s="42" t="inlineStr">
        <is>
          <t>Corrupt media decode</t>
        </is>
      </c>
      <c r="G82" s="42" t="inlineStr">
        <is>
          <t>Use corrupt MP4</t>
        </is>
      </c>
      <c r="H82" s="42" t="inlineStr">
        <is>
          <t>Play source/program</t>
        </is>
      </c>
      <c r="I82" s="42" t="inlineStr">
        <is>
          <t>Decode error names the asset and recovery</t>
        </is>
      </c>
      <c r="J82" s="42" t="inlineStr">
        <is>
          <t>Screenshot and media error code</t>
        </is>
      </c>
      <c r="K82" s="42" t="inlineStr">
        <is>
          <t>Partial</t>
        </is>
      </c>
      <c r="L82" s="42" t="inlineStr">
        <is>
          <t>QA Automation</t>
        </is>
      </c>
      <c r="M82" s="42" t="inlineStr">
        <is>
          <t>Not Executed</t>
        </is>
      </c>
      <c r="N82" s="42" t="str"/>
    </row>
    <row r="83" ht="60" customHeight="1">
      <c r="A83" s="42" t="inlineStr">
        <is>
          <t>UAT-PLAY-009</t>
        </is>
      </c>
      <c r="B83" s="42" t="inlineStr">
        <is>
          <t>Playback</t>
        </is>
      </c>
      <c r="C83" s="42" t="inlineStr">
        <is>
          <t>P2</t>
        </is>
      </c>
      <c r="D83" s="42" t="inlineStr">
        <is>
          <t>Behavioral</t>
        </is>
      </c>
      <c r="E83" s="42" t="inlineStr">
        <is>
          <t>Current 17234f7 repair</t>
        </is>
      </c>
      <c r="F83" s="42" t="inlineStr">
        <is>
          <t>Trim-boundary accuracy</t>
        </is>
      </c>
      <c r="G83" s="42" t="inlineStr">
        <is>
          <t>Long-GOP source with frame numbers</t>
        </is>
      </c>
      <c r="H83" s="42" t="inlineStr">
        <is>
          <t>Set in/out on known frames; play seam</t>
        </is>
      </c>
      <c r="I83" s="42" t="inlineStr">
        <is>
          <t>Expected frames appear; limitations disclosed</t>
        </is>
      </c>
      <c r="J83" s="42" t="inlineStr">
        <is>
          <t>Frame captures</t>
        </is>
      </c>
      <c r="K83" s="42" t="inlineStr">
        <is>
          <t>Partial</t>
        </is>
      </c>
      <c r="L83" s="42" t="inlineStr">
        <is>
          <t>QA Automation</t>
        </is>
      </c>
      <c r="M83" s="42" t="inlineStr">
        <is>
          <t>Not Executed</t>
        </is>
      </c>
      <c r="N83" s="42" t="str"/>
    </row>
    <row r="84" ht="60" customHeight="1">
      <c r="A84" s="42" t="inlineStr">
        <is>
          <t>UAT-PLAY-010</t>
        </is>
      </c>
      <c r="B84" s="42" t="inlineStr">
        <is>
          <t>Playback</t>
        </is>
      </c>
      <c r="C84" s="42" t="inlineStr">
        <is>
          <t>P2</t>
        </is>
      </c>
      <c r="D84" s="42" t="inlineStr">
        <is>
          <t>Behavioral</t>
        </is>
      </c>
      <c r="E84" s="42" t="inlineStr">
        <is>
          <t>Current 17234f7 repair</t>
        </is>
      </c>
      <c r="F84" s="42" t="inlineStr">
        <is>
          <t>Audio tail after picture</t>
        </is>
      </c>
      <c r="G84" s="42" t="inlineStr">
        <is>
          <t>Picture ends before audio</t>
        </is>
      </c>
      <c r="H84" s="42" t="inlineStr">
        <is>
          <t>Play to end</t>
        </is>
      </c>
      <c r="I84" s="42" t="inlineStr">
        <is>
          <t>Black-tail behavior is labeled and transport ends correctly</t>
        </is>
      </c>
      <c r="J84" s="42" t="inlineStr">
        <is>
          <t>Screen recording</t>
        </is>
      </c>
      <c r="K84" s="42" t="inlineStr">
        <is>
          <t>Partial</t>
        </is>
      </c>
      <c r="L84" s="42" t="inlineStr">
        <is>
          <t>QA Automation</t>
        </is>
      </c>
      <c r="M84" s="42" t="inlineStr">
        <is>
          <t>Not Executed</t>
        </is>
      </c>
      <c r="N84" s="42" t="str"/>
    </row>
    <row r="85" ht="60" customHeight="1">
      <c r="A85" s="42" t="inlineStr">
        <is>
          <t>UAT-PLAY-011</t>
        </is>
      </c>
      <c r="B85" s="42" t="inlineStr">
        <is>
          <t>Playback</t>
        </is>
      </c>
      <c r="C85" s="42" t="inlineStr">
        <is>
          <t>P2</t>
        </is>
      </c>
      <c r="D85" s="42" t="inlineStr">
        <is>
          <t>Behavioral</t>
        </is>
      </c>
      <c r="E85" s="42" t="inlineStr">
        <is>
          <t>Current 17234f7 repair</t>
        </is>
      </c>
      <c r="F85" s="42" t="inlineStr">
        <is>
          <t>Mute/lock combinations</t>
        </is>
      </c>
      <c r="G85" s="42" t="inlineStr">
        <is>
          <t>Multiple video/audio tracks</t>
        </is>
      </c>
      <c r="H85" s="42" t="inlineStr">
        <is>
          <t>Toggle mute/lock while stopped and playing</t>
        </is>
      </c>
      <c r="I85" s="42" t="inlineStr">
        <is>
          <t>State and sound match labels; no forbidden edits</t>
        </is>
      </c>
      <c r="J85" s="42" t="inlineStr">
        <is>
          <t>Screen recording</t>
        </is>
      </c>
      <c r="K85" s="42" t="inlineStr">
        <is>
          <t>Partial</t>
        </is>
      </c>
      <c r="L85" s="42" t="inlineStr">
        <is>
          <t>QA Automation</t>
        </is>
      </c>
      <c r="M85" s="42" t="inlineStr">
        <is>
          <t>Not Executed</t>
        </is>
      </c>
      <c r="N85" s="42" t="str"/>
    </row>
    <row r="86" ht="60" customHeight="1">
      <c r="A86" s="42" t="inlineStr">
        <is>
          <t>UAT-PLAY-012</t>
        </is>
      </c>
      <c r="B86" s="42" t="inlineStr">
        <is>
          <t>Playback</t>
        </is>
      </c>
      <c r="C86" s="42" t="inlineStr">
        <is>
          <t>P2</t>
        </is>
      </c>
      <c r="D86" s="42" t="inlineStr">
        <is>
          <t>Behavioral</t>
        </is>
      </c>
      <c r="E86" s="42" t="inlineStr">
        <is>
          <t>Current 17234f7 repair</t>
        </is>
      </c>
      <c r="F86" s="42" t="inlineStr">
        <is>
          <t>Rapid scrub</t>
        </is>
      </c>
      <c r="G86" s="42" t="inlineStr">
        <is>
          <t>Mixed clips on local SSD</t>
        </is>
      </c>
      <c r="H86" s="42" t="inlineStr">
        <is>
          <t>Drag playhead rapidly across cuts</t>
        </is>
      </c>
      <c r="I86" s="42" t="inlineStr">
        <is>
          <t>No stale frame, crash, or runaway audio</t>
        </is>
      </c>
      <c r="J86" s="42" t="inlineStr">
        <is>
          <t>Performance trace</t>
        </is>
      </c>
      <c r="K86" s="42" t="inlineStr">
        <is>
          <t>Partial</t>
        </is>
      </c>
      <c r="L86" s="42" t="inlineStr">
        <is>
          <t>QA Automation</t>
        </is>
      </c>
      <c r="M86" s="42" t="inlineStr">
        <is>
          <t>Not Executed</t>
        </is>
      </c>
      <c r="N86" s="42" t="str"/>
    </row>
    <row r="87" ht="60" customHeight="1">
      <c r="A87" s="42" t="inlineStr">
        <is>
          <t>UAT-PLAY-013</t>
        </is>
      </c>
      <c r="B87" s="42" t="inlineStr">
        <is>
          <t>Playback</t>
        </is>
      </c>
      <c r="C87" s="42" t="inlineStr">
        <is>
          <t>P2</t>
        </is>
      </c>
      <c r="D87" s="42" t="inlineStr">
        <is>
          <t>Behavioral</t>
        </is>
      </c>
      <c r="E87" s="42" t="inlineStr">
        <is>
          <t>Current 17234f7 repair</t>
        </is>
      </c>
      <c r="F87" s="42" t="inlineStr">
        <is>
          <t>Repeated play/pause</t>
        </is>
      </c>
      <c r="G87" s="42" t="inlineStr">
        <is>
          <t>Loaded sequence</t>
        </is>
      </c>
      <c r="H87" s="42" t="inlineStr">
        <is>
          <t>Press Space 30 times at varied focus</t>
        </is>
      </c>
      <c r="I87" s="42" t="inlineStr">
        <is>
          <t>No duplicate audio, stuck transport, or outside-context shortcut</t>
        </is>
      </c>
      <c r="J87" s="42" t="inlineStr">
        <is>
          <t>Screen recording</t>
        </is>
      </c>
      <c r="K87" s="42" t="inlineStr">
        <is>
          <t>Partial</t>
        </is>
      </c>
      <c r="L87" s="42" t="inlineStr">
        <is>
          <t>QA Automation</t>
        </is>
      </c>
      <c r="M87" s="42" t="inlineStr">
        <is>
          <t>Not Executed</t>
        </is>
      </c>
      <c r="N87" s="42" t="str"/>
    </row>
    <row r="88" ht="60" customHeight="1">
      <c r="A88" s="42" t="inlineStr">
        <is>
          <t>UAT-PLAY-014</t>
        </is>
      </c>
      <c r="B88" s="42" t="inlineStr">
        <is>
          <t>Playback</t>
        </is>
      </c>
      <c r="C88" s="42" t="inlineStr">
        <is>
          <t>P2</t>
        </is>
      </c>
      <c r="D88" s="42" t="inlineStr">
        <is>
          <t>Behavioral</t>
        </is>
      </c>
      <c r="E88" s="42" t="inlineStr">
        <is>
          <t>Current 17234f7 repair</t>
        </is>
      </c>
      <c r="F88" s="42" t="inlineStr">
        <is>
          <t>Multiple auxiliary tracks</t>
        </is>
      </c>
      <c r="G88" s="42" t="inlineStr">
        <is>
          <t>Three overlapping audio clips with fades</t>
        </is>
      </c>
      <c r="H88" s="42" t="inlineStr">
        <is>
          <t>Play overlap</t>
        </is>
      </c>
      <c r="I88" s="42" t="inlineStr">
        <is>
          <t>All tracks remain synchronized and fades are smooth</t>
        </is>
      </c>
      <c r="J88" s="42" t="inlineStr">
        <is>
          <t>Audio capture</t>
        </is>
      </c>
      <c r="K88" s="42" t="inlineStr">
        <is>
          <t>Partial</t>
        </is>
      </c>
      <c r="L88" s="42" t="inlineStr">
        <is>
          <t>QA Automation</t>
        </is>
      </c>
      <c r="M88" s="42" t="inlineStr">
        <is>
          <t>Not Executed</t>
        </is>
      </c>
      <c r="N88" s="42" t="str"/>
    </row>
    <row r="89" ht="60" customHeight="1">
      <c r="A89" s="42" t="inlineStr">
        <is>
          <t>UAT-PLAY-021</t>
        </is>
      </c>
      <c r="B89" s="42" t="inlineStr">
        <is>
          <t>Playback</t>
        </is>
      </c>
      <c r="C89" s="42" t="inlineStr">
        <is>
          <t>P2</t>
        </is>
      </c>
      <c r="D89" s="42" t="inlineStr">
        <is>
          <t>Behavioral</t>
        </is>
      </c>
      <c r="E89" s="42" t="inlineStr">
        <is>
          <t>Current / decision-dependent</t>
        </is>
      </c>
      <c r="F89" s="42" t="inlineStr">
        <is>
          <t>Boundary sequence fixtures</t>
        </is>
      </c>
      <c r="G89" s="42" t="inlineStr">
        <is>
          <t>Empty sequence; one-frame clip; maximum item counts; very long edit; VFR source</t>
        </is>
      </c>
      <c r="H89" s="42" t="inlineStr">
        <is>
          <t>Open, edit, save, play/step, seek, and export each fixture</t>
        </is>
      </c>
      <c r="I89" s="42" t="inlineStr">
        <is>
          <t>Controls remain valid, timecode is consistent, unsupported operations explain why, and no overflow/crash occurs</t>
        </is>
      </c>
      <c r="J89" s="42" t="inlineStr">
        <is>
          <t>Screenshots, console, saved/exported metadata</t>
        </is>
      </c>
      <c r="K89" s="42" t="inlineStr">
        <is>
          <t>Yes</t>
        </is>
      </c>
      <c r="L89" s="42" t="inlineStr">
        <is>
          <t>QA Automation</t>
        </is>
      </c>
      <c r="M89" s="42" t="inlineStr">
        <is>
          <t>Not Executed</t>
        </is>
      </c>
      <c r="N89" s="42" t="str"/>
    </row>
    <row r="90" ht="60" customHeight="1">
      <c r="A90" s="42" t="inlineStr">
        <is>
          <t>UAT-PLAY-022</t>
        </is>
      </c>
      <c r="B90" s="42" t="inlineStr">
        <is>
          <t>Playback</t>
        </is>
      </c>
      <c r="C90" s="42" t="inlineStr">
        <is>
          <t>P2</t>
        </is>
      </c>
      <c r="D90" s="42" t="inlineStr">
        <is>
          <t>Behavioral</t>
        </is>
      </c>
      <c r="E90" s="42" t="inlineStr">
        <is>
          <t>Current / decision-dependent</t>
        </is>
      </c>
      <c r="F90" s="42" t="inlineStr">
        <is>
          <t>Sleep/wake and audio-device recovery</t>
        </is>
      </c>
      <c r="G90" s="42" t="inlineStr">
        <is>
          <t>Playing sequence on supported workstation</t>
        </is>
      </c>
      <c r="H90" s="42" t="inlineStr">
        <is>
          <t>Sleep system; wake; change default audio device; return to app</t>
        </is>
      </c>
      <c r="I90" s="42" t="inlineStr">
        <is>
          <t>Transport pauses or rebuilds per spec, no duplicate audio, and resume starts synchronized</t>
        </is>
      </c>
      <c r="J90" s="42" t="inlineStr">
        <is>
          <t>Screen recording and media/audio-device logs</t>
        </is>
      </c>
      <c r="K90" s="42" t="inlineStr">
        <is>
          <t>Partial</t>
        </is>
      </c>
      <c r="L90" s="42" t="inlineStr">
        <is>
          <t>Manual QA + Media Engine</t>
        </is>
      </c>
      <c r="M90" s="42" t="inlineStr">
        <is>
          <t>Not Executed</t>
        </is>
      </c>
      <c r="N90" s="42" t="str"/>
    </row>
    <row r="91" ht="60" customHeight="1">
      <c r="A91" s="42" t="inlineStr">
        <is>
          <t>UAT-REG-003</t>
        </is>
      </c>
      <c r="B91" s="42" t="inlineStr">
        <is>
          <t>Regression</t>
        </is>
      </c>
      <c r="C91" s="42" t="inlineStr">
        <is>
          <t>P2</t>
        </is>
      </c>
      <c r="D91" s="42" t="inlineStr">
        <is>
          <t>Regression</t>
        </is>
      </c>
      <c r="E91" s="42" t="inlineStr">
        <is>
          <t>Current 17234f7 repair</t>
        </is>
      </c>
      <c r="F91" s="42" t="inlineStr">
        <is>
          <t>Revision conflict during import/edit</t>
        </is>
      </c>
      <c r="G91" s="42" t="inlineStr">
        <is>
          <t>Two browser windows</t>
        </is>
      </c>
      <c r="H91" s="42" t="inlineStr">
        <is>
          <t>Edit in one, import in another</t>
        </is>
      </c>
      <c r="I91" s="42" t="inlineStr">
        <is>
          <t>Conflict handled without lost data</t>
        </is>
      </c>
      <c r="J91" s="42" t="inlineStr">
        <is>
          <t>Document revisions</t>
        </is>
      </c>
      <c r="K91" s="42" t="inlineStr">
        <is>
          <t>Yes</t>
        </is>
      </c>
      <c r="L91" s="42" t="inlineStr">
        <is>
          <t>QA Automation</t>
        </is>
      </c>
      <c r="M91" s="42" t="inlineStr">
        <is>
          <t>Not Executed</t>
        </is>
      </c>
      <c r="N91" s="42" t="str"/>
    </row>
    <row r="92" ht="60" customHeight="1">
      <c r="A92" s="42" t="inlineStr">
        <is>
          <t>UAT-REG-004</t>
        </is>
      </c>
      <c r="B92" s="42" t="inlineStr">
        <is>
          <t>Regression</t>
        </is>
      </c>
      <c r="C92" s="42" t="inlineStr">
        <is>
          <t>P2</t>
        </is>
      </c>
      <c r="D92" s="42" t="inlineStr">
        <is>
          <t>Regression</t>
        </is>
      </c>
      <c r="E92" s="42" t="inlineStr">
        <is>
          <t>Current 17234f7 repair</t>
        </is>
      </c>
      <c r="F92" s="42" t="inlineStr">
        <is>
          <t>Autosave/undo after take replacement</t>
        </is>
      </c>
      <c r="G92" s="42" t="inlineStr">
        <is>
          <t>Perform swap and trim</t>
        </is>
      </c>
      <c r="H92" s="42" t="inlineStr">
        <is>
          <t>Wait autosave; undo/redo</t>
        </is>
      </c>
      <c r="I92" s="42" t="inlineStr">
        <is>
          <t>History and persisted document agree</t>
        </is>
      </c>
      <c r="J92" s="42" t="inlineStr">
        <is>
          <t>Document snapshots</t>
        </is>
      </c>
      <c r="K92" s="42" t="inlineStr">
        <is>
          <t>Yes</t>
        </is>
      </c>
      <c r="L92" s="42" t="inlineStr">
        <is>
          <t>QA Automation</t>
        </is>
      </c>
      <c r="M92" s="42" t="inlineStr">
        <is>
          <t>Not Executed</t>
        </is>
      </c>
      <c r="N92" s="42" t="str"/>
    </row>
    <row r="93" ht="60" customHeight="1">
      <c r="A93" s="42" t="inlineStr">
        <is>
          <t>UAT-REG-005</t>
        </is>
      </c>
      <c r="B93" s="42" t="inlineStr">
        <is>
          <t>Regression</t>
        </is>
      </c>
      <c r="C93" s="42" t="inlineStr">
        <is>
          <t>P2</t>
        </is>
      </c>
      <c r="D93" s="42" t="inlineStr">
        <is>
          <t>Regression</t>
        </is>
      </c>
      <c r="E93" s="42" t="inlineStr">
        <is>
          <t>Current 17234f7 repair</t>
        </is>
      </c>
      <c r="F93" s="42" t="inlineStr">
        <is>
          <t>Clean-room reproducibility</t>
        </is>
      </c>
      <c r="G93" s="42" t="inlineStr">
        <is>
          <t>Fresh Windows account/machine</t>
        </is>
      </c>
      <c r="H93" s="42" t="inlineStr">
        <is>
          <t>Clone/setup/run</t>
        </is>
      </c>
      <c r="I93" s="42" t="inlineStr">
        <is>
          <t>Same picker inventory and key workflows</t>
        </is>
      </c>
      <c r="J93" s="42" t="inlineStr">
        <is>
          <t>Setup log/hash manifest</t>
        </is>
      </c>
      <c r="K93" s="42" t="inlineStr">
        <is>
          <t>Yes</t>
        </is>
      </c>
      <c r="L93" s="42" t="inlineStr">
        <is>
          <t>QA Automation</t>
        </is>
      </c>
      <c r="M93" s="42" t="inlineStr">
        <is>
          <t>Not Executed</t>
        </is>
      </c>
      <c r="N93" s="42" t="str"/>
    </row>
    <row r="94" ht="60" customHeight="1">
      <c r="A94" s="42" t="inlineStr">
        <is>
          <t>UAT-REG-006</t>
        </is>
      </c>
      <c r="B94" s="42" t="inlineStr">
        <is>
          <t>Regression</t>
        </is>
      </c>
      <c r="C94" s="42" t="inlineStr">
        <is>
          <t>P2</t>
        </is>
      </c>
      <c r="D94" s="42" t="inlineStr">
        <is>
          <t>Regression</t>
        </is>
      </c>
      <c r="E94" s="42" t="inlineStr">
        <is>
          <t>Current 17234f7 repair</t>
        </is>
      </c>
      <c r="F94" s="42" t="inlineStr">
        <is>
          <t>No-console-error smoke</t>
        </is>
      </c>
      <c r="G94" s="42" t="inlineStr">
        <is>
          <t>Run all primary paths</t>
        </is>
      </c>
      <c r="H94" s="42" t="inlineStr">
        <is>
          <t>Inspect console/server logs</t>
        </is>
      </c>
      <c r="I94" s="42" t="inlineStr">
        <is>
          <t>No uncaught errors or unhandled rejections</t>
        </is>
      </c>
      <c r="J94" s="42" t="inlineStr">
        <is>
          <t>Logs</t>
        </is>
      </c>
      <c r="K94" s="42" t="inlineStr">
        <is>
          <t>Yes</t>
        </is>
      </c>
      <c r="L94" s="42" t="inlineStr">
        <is>
          <t>QA Automation</t>
        </is>
      </c>
      <c r="M94" s="42" t="inlineStr">
        <is>
          <t>Not Executed</t>
        </is>
      </c>
      <c r="N94" s="42" t="str"/>
    </row>
    <row r="95" ht="60" customHeight="1">
      <c r="A95" s="42" t="inlineStr">
        <is>
          <t>UAT-REG-007</t>
        </is>
      </c>
      <c r="B95" s="42" t="inlineStr">
        <is>
          <t>Regression</t>
        </is>
      </c>
      <c r="C95" s="42" t="inlineStr">
        <is>
          <t>P2</t>
        </is>
      </c>
      <c r="D95" s="42" t="inlineStr">
        <is>
          <t>Regression</t>
        </is>
      </c>
      <c r="E95" s="42" t="inlineStr">
        <is>
          <t>Current 17234f7 repair</t>
        </is>
      </c>
      <c r="F95" s="42" t="inlineStr">
        <is>
          <t>Project data isolation</t>
        </is>
      </c>
      <c r="G95" s="42" t="inlineStr">
        <is>
          <t>Switch between two projects</t>
        </is>
      </c>
      <c r="H95" s="42" t="inlineStr">
        <is>
          <t>Import/edit/load workflows</t>
        </is>
      </c>
      <c r="I95" s="42" t="inlineStr">
        <is>
          <t>No data/state leakage</t>
        </is>
      </c>
      <c r="J95" s="42" t="inlineStr">
        <is>
          <t>Document/file diff</t>
        </is>
      </c>
      <c r="K95" s="42" t="inlineStr">
        <is>
          <t>Yes</t>
        </is>
      </c>
      <c r="L95" s="42" t="inlineStr">
        <is>
          <t>QA Automation</t>
        </is>
      </c>
      <c r="M95" s="42" t="inlineStr">
        <is>
          <t>Not Executed</t>
        </is>
      </c>
      <c r="N95" s="42" t="str"/>
    </row>
    <row r="96" ht="60" customHeight="1">
      <c r="A96" s="42" t="inlineStr">
        <is>
          <t>UAT-RESP-001</t>
        </is>
      </c>
      <c r="B96" s="42" t="inlineStr">
        <is>
          <t>Responsive</t>
        </is>
      </c>
      <c r="C96" s="42" t="inlineStr">
        <is>
          <t>P2</t>
        </is>
      </c>
      <c r="D96" s="42" t="inlineStr">
        <is>
          <t>Behavioral</t>
        </is>
      </c>
      <c r="E96" s="42" t="inlineStr">
        <is>
          <t>Current 17234f7 repair</t>
        </is>
      </c>
      <c r="F96" s="42" t="inlineStr">
        <is>
          <t>1366×768</t>
        </is>
      </c>
      <c r="G96" s="42" t="inlineStr">
        <is>
          <t>Windows 100% scale</t>
        </is>
      </c>
      <c r="H96" s="42" t="inlineStr">
        <is>
          <t>Complete sequence and Comfy flows</t>
        </is>
      </c>
      <c r="I96" s="42" t="inlineStr">
        <is>
          <t>No clipped critical controls or viewport-wide horizontal scroll</t>
        </is>
      </c>
      <c r="J96" s="42" t="inlineStr">
        <is>
          <t>Screenshots</t>
        </is>
      </c>
      <c r="K96" s="42" t="inlineStr">
        <is>
          <t>Partial</t>
        </is>
      </c>
      <c r="L96" s="42" t="inlineStr">
        <is>
          <t>Accessibility QA + QA Automation</t>
        </is>
      </c>
      <c r="M96" s="42" t="inlineStr">
        <is>
          <t>Not Executed</t>
        </is>
      </c>
      <c r="N96" s="42" t="str"/>
    </row>
    <row r="97" ht="60" customHeight="1">
      <c r="A97" s="42" t="inlineStr">
        <is>
          <t>UAT-RESP-002</t>
        </is>
      </c>
      <c r="B97" s="42" t="inlineStr">
        <is>
          <t>Responsive</t>
        </is>
      </c>
      <c r="C97" s="42" t="inlineStr">
        <is>
          <t>P2</t>
        </is>
      </c>
      <c r="D97" s="42" t="inlineStr">
        <is>
          <t>Behavioral</t>
        </is>
      </c>
      <c r="E97" s="42" t="inlineStr">
        <is>
          <t>Current 17234f7 repair</t>
        </is>
      </c>
      <c r="F97" s="42" t="inlineStr">
        <is>
          <t>1440×900 at 125%</t>
        </is>
      </c>
      <c r="G97" s="42" t="inlineStr">
        <is>
          <t>Windows 125% scale</t>
        </is>
      </c>
      <c r="H97" s="42" t="inlineStr">
        <is>
          <t>Complete flows</t>
        </is>
      </c>
      <c r="I97" s="42" t="inlineStr">
        <is>
          <t>Usable density and focus visibility</t>
        </is>
      </c>
      <c r="J97" s="42" t="inlineStr">
        <is>
          <t>Screenshots</t>
        </is>
      </c>
      <c r="K97" s="42" t="inlineStr">
        <is>
          <t>Partial</t>
        </is>
      </c>
      <c r="L97" s="42" t="inlineStr">
        <is>
          <t>Accessibility QA + QA Automation</t>
        </is>
      </c>
      <c r="M97" s="42" t="inlineStr">
        <is>
          <t>Not Executed</t>
        </is>
      </c>
      <c r="N97" s="42" t="str"/>
    </row>
    <row r="98" ht="60" customHeight="1">
      <c r="A98" s="42" t="inlineStr">
        <is>
          <t>UAT-RESP-003</t>
        </is>
      </c>
      <c r="B98" s="42" t="inlineStr">
        <is>
          <t>Responsive</t>
        </is>
      </c>
      <c r="C98" s="42" t="inlineStr">
        <is>
          <t>P2</t>
        </is>
      </c>
      <c r="D98" s="42" t="inlineStr">
        <is>
          <t>Behavioral</t>
        </is>
      </c>
      <c r="E98" s="42" t="inlineStr">
        <is>
          <t>Current 17234f7 repair</t>
        </is>
      </c>
      <c r="F98" s="42" t="inlineStr">
        <is>
          <t>1920×1080 at 150%</t>
        </is>
      </c>
      <c r="G98" s="42" t="inlineStr">
        <is>
          <t>Windows 150% scale</t>
        </is>
      </c>
      <c r="H98" s="42" t="inlineStr">
        <is>
          <t>Complete flows</t>
        </is>
      </c>
      <c r="I98" s="42" t="inlineStr">
        <is>
          <t>No inaccessible content</t>
        </is>
      </c>
      <c r="J98" s="42" t="inlineStr">
        <is>
          <t>Screenshots</t>
        </is>
      </c>
      <c r="K98" s="42" t="inlineStr">
        <is>
          <t>Partial</t>
        </is>
      </c>
      <c r="L98" s="42" t="inlineStr">
        <is>
          <t>Accessibility QA + QA Automation</t>
        </is>
      </c>
      <c r="M98" s="42" t="inlineStr">
        <is>
          <t>Not Executed</t>
        </is>
      </c>
      <c r="N98" s="42" t="str"/>
    </row>
    <row r="99" ht="60" customHeight="1">
      <c r="A99" s="42" t="inlineStr">
        <is>
          <t>UAT-UX-006</t>
        </is>
      </c>
      <c r="B99" s="42" t="inlineStr">
        <is>
          <t>Responsive Containers</t>
        </is>
      </c>
      <c r="C99" s="42" t="inlineStr">
        <is>
          <t>P2</t>
        </is>
      </c>
      <c r="D99" s="42" t="inlineStr">
        <is>
          <t>Behavioral</t>
        </is>
      </c>
      <c r="E99" s="42" t="inlineStr">
        <is>
          <t>Current / decision-dependent</t>
        </is>
      </c>
      <c r="F99" s="42" t="inlineStr">
        <is>
          <t>Drawer-to-sheet adaptation</t>
        </is>
      </c>
      <c r="G99" s="42" t="inlineStr">
        <is>
          <t>Supported viewport/scaling matrix</t>
        </is>
      </c>
      <c r="H99" s="42" t="inlineStr">
        <is>
          <t>Open each drawer/modal/sheet/popover at low height, split screen, 150% scale, 400% zoom</t>
        </is>
      </c>
      <c r="I99" s="42" t="inlineStr">
        <is>
          <t>Containers adapt per spec, essential controls remain visible, and dismissal/focus remain correct</t>
        </is>
      </c>
      <c r="J99" s="42" t="inlineStr">
        <is>
          <t>Viewport screenshot matrix</t>
        </is>
      </c>
      <c r="K99" s="42" t="inlineStr">
        <is>
          <t>Yes</t>
        </is>
      </c>
      <c r="L99" s="42" t="inlineStr">
        <is>
          <t>QA Automation</t>
        </is>
      </c>
      <c r="M99" s="42" t="inlineStr">
        <is>
          <t>Not Executed</t>
        </is>
      </c>
      <c r="N99" s="42" t="str"/>
    </row>
    <row r="100" ht="60" customHeight="1">
      <c r="A100" s="42" t="inlineStr">
        <is>
          <t>UAT-UX-004</t>
        </is>
      </c>
      <c r="B100" s="42" t="inlineStr">
        <is>
          <t>Shared Containers</t>
        </is>
      </c>
      <c r="C100" s="42" t="inlineStr">
        <is>
          <t>P2</t>
        </is>
      </c>
      <c r="D100" s="42" t="inlineStr">
        <is>
          <t>Behavioral</t>
        </is>
      </c>
      <c r="E100" s="42" t="inlineStr">
        <is>
          <t>Current / decision-dependent</t>
        </is>
      </c>
      <c r="F100" s="42" t="inlineStr">
        <is>
          <t>Focus, dismissal, dirty state, and stacking</t>
        </is>
      </c>
      <c r="G100" s="42" t="inlineStr">
        <is>
          <t>All proposed containers available</t>
        </is>
      </c>
      <c r="H100" s="42" t="inlineStr">
        <is>
          <t>Exercise keyboard, screen reader, Escape, outside click, nested modal/popover, iframe click-through</t>
        </is>
      </c>
      <c r="I100" s="42" t="inlineStr">
        <is>
          <t>Shared contract passes; no lost focus, hidden layer, accidental discard, or background interaction</t>
        </is>
      </c>
      <c r="J100" s="42" t="inlineStr">
        <is>
          <t>Accessibility tree and screen recording</t>
        </is>
      </c>
      <c r="K100" s="42" t="inlineStr">
        <is>
          <t>Yes</t>
        </is>
      </c>
      <c r="L100" s="42" t="inlineStr">
        <is>
          <t>Accessibility QA</t>
        </is>
      </c>
      <c r="M100" s="42" t="inlineStr">
        <is>
          <t>Not Executed</t>
        </is>
      </c>
      <c r="N100" s="42" t="str"/>
    </row>
    <row r="101" ht="60" customHeight="1">
      <c r="A101" s="42" t="inlineStr">
        <is>
          <t>UAT-TAKE-005</t>
        </is>
      </c>
      <c r="B101" s="42" t="inlineStr">
        <is>
          <t>Takes</t>
        </is>
      </c>
      <c r="C101" s="42" t="inlineStr">
        <is>
          <t>P2</t>
        </is>
      </c>
      <c r="D101" s="42" t="inlineStr">
        <is>
          <t>Behavioral</t>
        </is>
      </c>
      <c r="E101" s="42" t="inlineStr">
        <is>
          <t>Current 17234f7 repair</t>
        </is>
      </c>
      <c r="F101" s="42" t="inlineStr">
        <is>
          <t>Previous/next take keyboard cycle</t>
        </is>
      </c>
      <c r="G101" s="42" t="inlineStr">
        <is>
          <t>Segment with 20 takes</t>
        </is>
      </c>
      <c r="H101" s="42" t="inlineStr">
        <is>
          <t>Use keyboard cycle and audition</t>
        </is>
      </c>
      <c r="I101" s="42" t="inlineStr">
        <is>
          <t>Focus remains stable and each take appears once</t>
        </is>
      </c>
      <c r="J101" s="42" t="inlineStr">
        <is>
          <t>Screen recording</t>
        </is>
      </c>
      <c r="K101" s="42" t="inlineStr">
        <is>
          <t>Yes</t>
        </is>
      </c>
      <c r="L101" s="42" t="inlineStr">
        <is>
          <t>QA Automation</t>
        </is>
      </c>
      <c r="M101" s="42" t="inlineStr">
        <is>
          <t>Not Executed</t>
        </is>
      </c>
      <c r="N101" s="42" t="str"/>
    </row>
    <row r="102" ht="60" customHeight="1">
      <c r="A102" s="42" t="inlineStr">
        <is>
          <t>UAT-TAKE-006</t>
        </is>
      </c>
      <c r="B102" s="42" t="inlineStr">
        <is>
          <t>Takes</t>
        </is>
      </c>
      <c r="C102" s="42" t="inlineStr">
        <is>
          <t>P2</t>
        </is>
      </c>
      <c r="D102" s="42" t="inlineStr">
        <is>
          <t>Behavioral</t>
        </is>
      </c>
      <c r="E102" s="42" t="inlineStr">
        <is>
          <t>Current 17234f7 repair</t>
        </is>
      </c>
      <c r="F102" s="42" t="inlineStr">
        <is>
          <t>Hidden selection on filter change</t>
        </is>
      </c>
      <c r="G102" s="42" t="inlineStr">
        <is>
          <t>Select historical item then switch to Active</t>
        </is>
      </c>
      <c r="H102" s="42" t="inlineStr">
        <is>
          <t>Change filter</t>
        </is>
      </c>
      <c r="I102" s="42" t="inlineStr">
        <is>
          <t>Selection clears or is explicitly marked hidden</t>
        </is>
      </c>
      <c r="J102" s="42" t="inlineStr">
        <is>
          <t>Screenshot</t>
        </is>
      </c>
      <c r="K102" s="42" t="inlineStr">
        <is>
          <t>Yes</t>
        </is>
      </c>
      <c r="L102" s="42" t="inlineStr">
        <is>
          <t>QA Automation</t>
        </is>
      </c>
      <c r="M102" s="42" t="inlineStr">
        <is>
          <t>Not Executed</t>
        </is>
      </c>
      <c r="N102" s="42" t="str"/>
    </row>
    <row r="103" ht="60" customHeight="1">
      <c r="A103" s="42" t="inlineStr">
        <is>
          <t>UAT-TAKE-007</t>
        </is>
      </c>
      <c r="B103" s="42" t="inlineStr">
        <is>
          <t>Takes</t>
        </is>
      </c>
      <c r="C103" s="42" t="inlineStr">
        <is>
          <t>P2</t>
        </is>
      </c>
      <c r="D103" s="42" t="inlineStr">
        <is>
          <t>Behavioral</t>
        </is>
      </c>
      <c r="E103" s="42" t="inlineStr">
        <is>
          <t>Current 17234f7 repair</t>
        </is>
      </c>
      <c r="F103" s="42" t="inlineStr">
        <is>
          <t>Unassigned import isolation</t>
        </is>
      </c>
      <c r="G103" s="42" t="inlineStr">
        <is>
          <t>Imports with no segment ID</t>
        </is>
      </c>
      <c r="H103" s="42" t="inlineStr">
        <is>
          <t>Select one segment and Latest/segment</t>
        </is>
      </c>
      <c r="I103" s="42" t="inlineStr">
        <is>
          <t>Unassigned assets do not leak unless opted in</t>
        </is>
      </c>
      <c r="J103" s="42" t="inlineStr">
        <is>
          <t>Screenshot</t>
        </is>
      </c>
      <c r="K103" s="42" t="inlineStr">
        <is>
          <t>Yes</t>
        </is>
      </c>
      <c r="L103" s="42" t="inlineStr">
        <is>
          <t>QA Automation</t>
        </is>
      </c>
      <c r="M103" s="42" t="inlineStr">
        <is>
          <t>Not Executed</t>
        </is>
      </c>
      <c r="N103" s="42" t="str"/>
    </row>
    <row r="104" ht="60" customHeight="1">
      <c r="A104" s="42" t="inlineStr">
        <is>
          <t>UAT-TAKE-008</t>
        </is>
      </c>
      <c r="B104" s="42" t="inlineStr">
        <is>
          <t>Takes</t>
        </is>
      </c>
      <c r="C104" s="42" t="inlineStr">
        <is>
          <t>P2</t>
        </is>
      </c>
      <c r="D104" s="42" t="inlineStr">
        <is>
          <t>Behavioral</t>
        </is>
      </c>
      <c r="E104" s="42" t="inlineStr">
        <is>
          <t>Current 17234f7 repair</t>
        </is>
      </c>
      <c r="F104" s="42" t="inlineStr">
        <is>
          <t>Take status consistency</t>
        </is>
      </c>
      <c r="G104" s="42" t="inlineStr">
        <is>
          <t>Active/latest flags in data</t>
        </is>
      </c>
      <c r="H104" s="42" t="inlineStr">
        <is>
          <t>Refresh and switch filters</t>
        </is>
      </c>
      <c r="I104" s="42" t="inlineStr">
        <is>
          <t>Badges, counts, and membership agree</t>
        </is>
      </c>
      <c r="J104" s="42" t="inlineStr">
        <is>
          <t>Screenshot/data snapshot</t>
        </is>
      </c>
      <c r="K104" s="42" t="inlineStr">
        <is>
          <t>Yes</t>
        </is>
      </c>
      <c r="L104" s="42" t="inlineStr">
        <is>
          <t>QA Automation</t>
        </is>
      </c>
      <c r="M104" s="42" t="inlineStr">
        <is>
          <t>Not Executed</t>
        </is>
      </c>
      <c r="N104" s="42" t="str"/>
    </row>
    <row r="105" ht="60" customHeight="1">
      <c r="A105" s="42" t="inlineStr">
        <is>
          <t>UAT-TAKE-009</t>
        </is>
      </c>
      <c r="B105" s="42" t="inlineStr">
        <is>
          <t>Takes</t>
        </is>
      </c>
      <c r="C105" s="42" t="inlineStr">
        <is>
          <t>P2</t>
        </is>
      </c>
      <c r="D105" s="42" t="inlineStr">
        <is>
          <t>Behavioral</t>
        </is>
      </c>
      <c r="E105" s="42" t="inlineStr">
        <is>
          <t>Current 17234f7 repair</t>
        </is>
      </c>
      <c r="F105" s="42" t="inlineStr">
        <is>
          <t>Undo/redo take swap</t>
        </is>
      </c>
      <c r="G105" s="42" t="inlineStr">
        <is>
          <t>Complete a take replacement</t>
        </is>
      </c>
      <c r="H105" s="42" t="inlineStr">
        <is>
          <t>Undo then redo</t>
        </is>
      </c>
      <c r="I105" s="42" t="inlineStr">
        <is>
          <t>Timeline and active flags restore exactly</t>
        </is>
      </c>
      <c r="J105" s="42" t="inlineStr">
        <is>
          <t>Document revisions</t>
        </is>
      </c>
      <c r="K105" s="42" t="inlineStr">
        <is>
          <t>Yes</t>
        </is>
      </c>
      <c r="L105" s="42" t="inlineStr">
        <is>
          <t>QA Automation</t>
        </is>
      </c>
      <c r="M105" s="42" t="inlineStr">
        <is>
          <t>Not Executed</t>
        </is>
      </c>
      <c r="N105" s="42" t="str"/>
    </row>
    <row r="106" ht="60" customHeight="1">
      <c r="A106" s="42" t="inlineStr">
        <is>
          <t>UAT-TAKE-011</t>
        </is>
      </c>
      <c r="B106" s="42" t="inlineStr">
        <is>
          <t>Takes</t>
        </is>
      </c>
      <c r="C106" s="42" t="inlineStr">
        <is>
          <t>P2</t>
        </is>
      </c>
      <c r="D106" s="42" t="inlineStr">
        <is>
          <t>Behavioral</t>
        </is>
      </c>
      <c r="E106" s="42" t="inlineStr">
        <is>
          <t>Future if approved</t>
        </is>
      </c>
      <c r="F106" s="42" t="inlineStr">
        <is>
          <t>Take create and rename model</t>
        </is>
      </c>
      <c r="G106" s="42" t="inlineStr">
        <is>
          <t>Approved take entity model</t>
        </is>
      </c>
      <c r="H106" s="42" t="inlineStr">
        <is>
          <t>Create a take; verify default name; rename inline; cancel; undo/redo</t>
        </is>
      </c>
      <c r="I106" s="42" t="inlineStr">
        <is>
          <t>Identity/version rules match spec and changes persist without changing unrelated media</t>
        </is>
      </c>
      <c r="J106" s="42" t="inlineStr">
        <is>
          <t>Screen recording and document/API diff</t>
        </is>
      </c>
      <c r="K106" s="42" t="inlineStr">
        <is>
          <t>Yes</t>
        </is>
      </c>
      <c r="L106" s="42" t="inlineStr">
        <is>
          <t>QA Automation</t>
        </is>
      </c>
      <c r="M106" s="42" t="inlineStr">
        <is>
          <t>Not Executed</t>
        </is>
      </c>
      <c r="N106" s="42" t="str"/>
    </row>
    <row r="107" ht="60" customHeight="1">
      <c r="A107" s="42" t="inlineStr">
        <is>
          <t>UAT-TAKE-012</t>
        </is>
      </c>
      <c r="B107" s="42" t="inlineStr">
        <is>
          <t>Takes</t>
        </is>
      </c>
      <c r="C107" s="42" t="inlineStr">
        <is>
          <t>P2</t>
        </is>
      </c>
      <c r="D107" s="42" t="inlineStr">
        <is>
          <t>Behavioral</t>
        </is>
      </c>
      <c r="E107" s="42" t="inlineStr">
        <is>
          <t>Future if approved</t>
        </is>
      </c>
      <c r="F107" s="42" t="inlineStr">
        <is>
          <t>Duplicate, reorder, and delete take</t>
        </is>
      </c>
      <c r="G107" s="42" t="inlineStr">
        <is>
          <t>Approved take CRUD; one take active, one referenced on timeline</t>
        </is>
      </c>
      <c r="H107" s="42" t="inlineStr">
        <is>
          <t>Duplicate; reorder; delete inactive; attempt delete active/referenced/playing; undo</t>
        </is>
      </c>
      <c r="I107" s="42" t="inlineStr">
        <is>
          <t>Copies/references follow model, destructive actions are blocked or confirmed, and undo restores safely</t>
        </is>
      </c>
      <c r="J107" s="42" t="inlineStr">
        <is>
          <t>Screen recording and file/reference manifest</t>
        </is>
      </c>
      <c r="K107" s="42" t="inlineStr">
        <is>
          <t>Yes</t>
        </is>
      </c>
      <c r="L107" s="42" t="inlineStr">
        <is>
          <t>QA Automation</t>
        </is>
      </c>
      <c r="M107" s="42" t="inlineStr">
        <is>
          <t>Not Executed</t>
        </is>
      </c>
      <c r="N107" s="42" t="str"/>
    </row>
    <row r="108" ht="60" customHeight="1">
      <c r="A108" s="42" t="inlineStr">
        <is>
          <t>UAT-TAKE-014</t>
        </is>
      </c>
      <c r="B108" s="42" t="inlineStr">
        <is>
          <t>Takes</t>
        </is>
      </c>
      <c r="C108" s="42" t="inlineStr">
        <is>
          <t>P2</t>
        </is>
      </c>
      <c r="D108" s="42" t="inlineStr">
        <is>
          <t>Behavioral</t>
        </is>
      </c>
      <c r="E108" s="42" t="inlineStr">
        <is>
          <t>Future if approved</t>
        </is>
      </c>
      <c r="F108" s="42" t="inlineStr">
        <is>
          <t>Full take-state persistence</t>
        </is>
      </c>
      <c r="G108" s="42" t="inlineStr">
        <is>
          <t>Configured active take, filter, selection, compare state, and metadata</t>
        </is>
      </c>
      <c r="H108" s="42" t="inlineStr">
        <is>
          <t>Reload page and restart application</t>
        </is>
      </c>
      <c r="I108" s="42" t="inlineStr">
        <is>
          <t>Documented project/user-local state restores deterministically</t>
        </is>
      </c>
      <c r="J108" s="42" t="inlineStr">
        <is>
          <t>Before/after screenshots and state snapshot</t>
        </is>
      </c>
      <c r="K108" s="42" t="inlineStr">
        <is>
          <t>Yes</t>
        </is>
      </c>
      <c r="L108" s="42" t="inlineStr">
        <is>
          <t>QA Automation</t>
        </is>
      </c>
      <c r="M108" s="42" t="inlineStr">
        <is>
          <t>Not Executed</t>
        </is>
      </c>
      <c r="N108" s="42" t="str"/>
    </row>
    <row r="109" ht="60" customHeight="1">
      <c r="A109" s="42" t="inlineStr">
        <is>
          <t>UAT-TAKE-015</t>
        </is>
      </c>
      <c r="B109" s="42" t="inlineStr">
        <is>
          <t>Takes</t>
        </is>
      </c>
      <c r="C109" s="42" t="inlineStr">
        <is>
          <t>P2</t>
        </is>
      </c>
      <c r="D109" s="42" t="inlineStr">
        <is>
          <t>Behavioral</t>
        </is>
      </c>
      <c r="E109" s="42" t="inlineStr">
        <is>
          <t>Future if approved</t>
        </is>
      </c>
      <c r="F109" s="42" t="inlineStr">
        <is>
          <t>Concurrent take edits</t>
        </is>
      </c>
      <c r="G109" s="42" t="inlineStr">
        <is>
          <t>Same project in two windows</t>
        </is>
      </c>
      <c r="H109" s="42" t="inlineStr">
        <is>
          <t>Rename/promote/delete/reorder the same take in conflicting order</t>
        </is>
      </c>
      <c r="I109" s="42" t="inlineStr">
        <is>
          <t>Revision conflict appears; no change is silently lost or partially applied</t>
        </is>
      </c>
      <c r="J109" s="42" t="inlineStr">
        <is>
          <t>API responses and final state diff</t>
        </is>
      </c>
      <c r="K109" s="42" t="inlineStr">
        <is>
          <t>Yes</t>
        </is>
      </c>
      <c r="L109" s="42" t="inlineStr">
        <is>
          <t>QA Automation</t>
        </is>
      </c>
      <c r="M109" s="42" t="inlineStr">
        <is>
          <t>Not Executed</t>
        </is>
      </c>
      <c r="N109" s="42" t="str"/>
    </row>
    <row r="110" ht="60" customHeight="1">
      <c r="A110" s="42" t="inlineStr">
        <is>
          <t>UAT-PLAY-019</t>
        </is>
      </c>
      <c r="B110" s="42" t="inlineStr">
        <is>
          <t>Timeline</t>
        </is>
      </c>
      <c r="C110" s="42" t="inlineStr">
        <is>
          <t>P2</t>
        </is>
      </c>
      <c r="D110" s="42" t="inlineStr">
        <is>
          <t>Behavioral</t>
        </is>
      </c>
      <c r="E110" s="42" t="inlineStr">
        <is>
          <t>Current / decision-dependent</t>
        </is>
      </c>
      <c r="F110" s="42" t="inlineStr">
        <is>
          <t>Zoom, fit, and playhead acquisition</t>
        </is>
      </c>
      <c r="G110" s="42" t="inlineStr">
        <is>
          <t>Long timeline with dense edits</t>
        </is>
      </c>
      <c r="H110" s="42" t="inlineStr">
        <is>
          <t>Use slider, wheel/gesture, fit sequence, fit selection; move playhead at min/max zoom</t>
        </is>
      </c>
      <c r="I110" s="42" t="inlineStr">
        <is>
          <t>Zoom anchor is predictable, playhead remains visible/revealable, and its hit target is easy to acquire</t>
        </is>
      </c>
      <c r="J110" s="42" t="inlineStr">
        <is>
          <t>Screen recording and target-size measurement</t>
        </is>
      </c>
      <c r="K110" s="42" t="inlineStr">
        <is>
          <t>Yes</t>
        </is>
      </c>
      <c r="L110" s="42" t="inlineStr">
        <is>
          <t>QA Automation</t>
        </is>
      </c>
      <c r="M110" s="42" t="inlineStr">
        <is>
          <t>Not Executed</t>
        </is>
      </c>
      <c r="N110" s="42" t="str"/>
    </row>
    <row r="111" ht="60" customHeight="1">
      <c r="A111" s="42" t="inlineStr">
        <is>
          <t>UAT-A11Y-007</t>
        </is>
      </c>
      <c r="B111" s="42" t="inlineStr">
        <is>
          <t>Accessibility</t>
        </is>
      </c>
      <c r="C111" s="42" t="inlineStr">
        <is>
          <t>P3</t>
        </is>
      </c>
      <c r="D111" s="42" t="inlineStr">
        <is>
          <t>Behavioral</t>
        </is>
      </c>
      <c r="E111" s="42" t="inlineStr">
        <is>
          <t>Current / decision-dependent</t>
        </is>
      </c>
      <c r="F111" s="42" t="inlineStr">
        <is>
          <t>Reduced-motion mode</t>
        </is>
      </c>
      <c r="G111" s="42" t="inlineStr">
        <is>
          <t>prefers-reduced-motion enabled</t>
        </is>
      </c>
      <c r="H111" s="42" t="inlineStr">
        <is>
          <t>Open all containers and run status transitions</t>
        </is>
      </c>
      <c r="I111" s="42" t="inlineStr">
        <is>
          <t>Decorative transitions suppressed; no information is lost</t>
        </is>
      </c>
      <c r="J111" s="42" t="inlineStr">
        <is>
          <t>Screen recording</t>
        </is>
      </c>
      <c r="K111" s="42" t="inlineStr">
        <is>
          <t>Yes</t>
        </is>
      </c>
      <c r="L111" s="42" t="inlineStr">
        <is>
          <t>QA Automation</t>
        </is>
      </c>
      <c r="M111" s="42" t="inlineStr">
        <is>
          <t>Not Executed</t>
        </is>
      </c>
      <c r="N111" s="42" t="str"/>
    </row>
    <row r="112" ht="60" customHeight="1">
      <c r="A112" s="42" t="inlineStr">
        <is>
          <t>UAT-COMFY-021</t>
        </is>
      </c>
      <c r="B112" s="42" t="inlineStr">
        <is>
          <t>Comfy Picker</t>
        </is>
      </c>
      <c r="C112" s="42" t="inlineStr">
        <is>
          <t>P3</t>
        </is>
      </c>
      <c r="D112" s="42" t="inlineStr">
        <is>
          <t>Behavioral</t>
        </is>
      </c>
      <c r="E112" s="42" t="inlineStr">
        <is>
          <t>Current 17234f7 repair</t>
        </is>
      </c>
      <c r="F112" s="42" t="inlineStr">
        <is>
          <t>Same-value reload</t>
        </is>
      </c>
      <c r="G112" s="42" t="inlineStr">
        <is>
          <t>Select current option again/use reload</t>
        </is>
      </c>
      <c r="H112" s="42" t="inlineStr">
        <is>
          <t>Reload</t>
        </is>
      </c>
      <c r="I112" s="42" t="inlineStr">
        <is>
          <t>Request executes deliberately and state updates</t>
        </is>
      </c>
      <c r="J112" s="42" t="inlineStr">
        <is>
          <t>Network log</t>
        </is>
      </c>
      <c r="K112" s="42" t="inlineStr">
        <is>
          <t>Yes</t>
        </is>
      </c>
      <c r="L112" s="42" t="inlineStr">
        <is>
          <t>QA Automation</t>
        </is>
      </c>
      <c r="M112" s="42" t="inlineStr">
        <is>
          <t>Not Executed</t>
        </is>
      </c>
      <c r="N112" s="42" t="str"/>
    </row>
    <row r="113" ht="60" customHeight="1">
      <c r="A113" s="42" t="inlineStr">
        <is>
          <t>UAT-COMFY-022</t>
        </is>
      </c>
      <c r="B113" s="42" t="inlineStr">
        <is>
          <t>Comfy Picker</t>
        </is>
      </c>
      <c r="C113" s="42" t="inlineStr">
        <is>
          <t>P3</t>
        </is>
      </c>
      <c r="D113" s="42" t="inlineStr">
        <is>
          <t>Behavioral</t>
        </is>
      </c>
      <c r="E113" s="42" t="inlineStr">
        <is>
          <t>Current 17234f7 repair</t>
        </is>
      </c>
      <c r="F113" s="42" t="inlineStr">
        <is>
          <t>Favorites/recent</t>
        </is>
      </c>
      <c r="G113" s="42" t="inlineStr">
        <is>
          <t>Use several workflows</t>
        </is>
      </c>
      <c r="H113" s="42" t="inlineStr">
        <is>
          <t>Reopen picker</t>
        </is>
      </c>
      <c r="I113" s="42" t="inlineStr">
        <is>
          <t>Recent/favorites aid discovery without hiding source</t>
        </is>
      </c>
      <c r="J113" s="42" t="inlineStr">
        <is>
          <t>Screenshot</t>
        </is>
      </c>
      <c r="K113" s="42" t="inlineStr">
        <is>
          <t>Yes</t>
        </is>
      </c>
      <c r="L113" s="42" t="inlineStr">
        <is>
          <t>QA Automation</t>
        </is>
      </c>
      <c r="M113" s="42" t="inlineStr">
        <is>
          <t>Not Executed</t>
        </is>
      </c>
      <c r="N113" s="42" t="str"/>
    </row>
    <row r="114" ht="60" customHeight="1">
      <c r="A114" s="42" t="inlineStr">
        <is>
          <t>UAT-COMFY-023</t>
        </is>
      </c>
      <c r="B114" s="42" t="inlineStr">
        <is>
          <t>Comfy Picker</t>
        </is>
      </c>
      <c r="C114" s="42" t="inlineStr">
        <is>
          <t>P3</t>
        </is>
      </c>
      <c r="D114" s="42" t="inlineStr">
        <is>
          <t>Behavioral</t>
        </is>
      </c>
      <c r="E114" s="42" t="inlineStr">
        <is>
          <t>Current 17234f7 repair</t>
        </is>
      </c>
      <c r="F114" s="42" t="inlineStr">
        <is>
          <t>Library filesystem changes</t>
        </is>
      </c>
      <c r="G114" s="42" t="inlineStr">
        <is>
          <t>Add/remove workflow while app open</t>
        </is>
      </c>
      <c r="H114" s="42" t="inlineStr">
        <is>
          <t>Refresh/index</t>
        </is>
      </c>
      <c r="I114" s="42" t="inlineStr">
        <is>
          <t>Inventory updates predictably without server stall</t>
        </is>
      </c>
      <c r="J114" s="42" t="inlineStr">
        <is>
          <t>Performance/log</t>
        </is>
      </c>
      <c r="K114" s="42" t="inlineStr">
        <is>
          <t>Yes</t>
        </is>
      </c>
      <c r="L114" s="42" t="inlineStr">
        <is>
          <t>QA Automation</t>
        </is>
      </c>
      <c r="M114" s="42" t="inlineStr">
        <is>
          <t>Not Executed</t>
        </is>
      </c>
      <c r="N114" s="42" t="str"/>
    </row>
    <row r="115" ht="60" customHeight="1">
      <c r="A115" s="42" t="inlineStr">
        <is>
          <t>UAT-COMFY-024</t>
        </is>
      </c>
      <c r="B115" s="42" t="inlineStr">
        <is>
          <t>Comfy Picker</t>
        </is>
      </c>
      <c r="C115" s="42" t="inlineStr">
        <is>
          <t>P3</t>
        </is>
      </c>
      <c r="D115" s="42" t="inlineStr">
        <is>
          <t>Behavioral</t>
        </is>
      </c>
      <c r="E115" s="42" t="inlineStr">
        <is>
          <t>Current 17234f7 repair</t>
        </is>
      </c>
      <c r="F115" s="42" t="inlineStr">
        <is>
          <t>Large graph</t>
        </is>
      </c>
      <c r="G115" s="42" t="inlineStr">
        <is>
          <t>Load very large JSON graph</t>
        </is>
      </c>
      <c r="H115" s="42" t="inlineStr">
        <is>
          <t>Select/load</t>
        </is>
      </c>
      <c r="I115" s="42" t="inlineStr">
        <is>
          <t>Responsive UI, progress, bounded server blocking</t>
        </is>
      </c>
      <c r="J115" s="42" t="inlineStr">
        <is>
          <t>Performance trace</t>
        </is>
      </c>
      <c r="K115" s="42" t="inlineStr">
        <is>
          <t>Yes</t>
        </is>
      </c>
      <c r="L115" s="42" t="inlineStr">
        <is>
          <t>QA Automation</t>
        </is>
      </c>
      <c r="M115" s="42" t="inlineStr">
        <is>
          <t>Not Executed</t>
        </is>
      </c>
      <c r="N115" s="42" t="str"/>
    </row>
    <row r="116" ht="60" customHeight="1">
      <c r="A116" s="42" t="inlineStr">
        <is>
          <t>UAT-DROP-017</t>
        </is>
      </c>
      <c r="B116" s="42" t="inlineStr">
        <is>
          <t>Folder Drop</t>
        </is>
      </c>
      <c r="C116" s="42" t="inlineStr">
        <is>
          <t>P3</t>
        </is>
      </c>
      <c r="D116" s="42" t="inlineStr">
        <is>
          <t>Behavioral</t>
        </is>
      </c>
      <c r="E116" s="42" t="inlineStr">
        <is>
          <t>Current 17234f7 repair</t>
        </is>
      </c>
      <c r="F116" s="42" t="inlineStr">
        <is>
          <t>Recent import discoverability</t>
        </is>
      </c>
      <c r="G116" s="42" t="inlineStr">
        <is>
          <t>Large existing bin</t>
        </is>
      </c>
      <c r="H116" s="42" t="inlineStr">
        <is>
          <t>Import 20 items</t>
        </is>
      </c>
      <c r="I116" s="42" t="inlineStr">
        <is>
          <t>Imported set reachable in one action</t>
        </is>
      </c>
      <c r="J116" s="42" t="inlineStr">
        <is>
          <t>Screen recording</t>
        </is>
      </c>
      <c r="K116" s="42" t="inlineStr">
        <is>
          <t>Partial</t>
        </is>
      </c>
      <c r="L116" s="42" t="inlineStr">
        <is>
          <t>QA Automation</t>
        </is>
      </c>
      <c r="M116" s="42" t="inlineStr">
        <is>
          <t>Not Executed</t>
        </is>
      </c>
      <c r="N116" s="42" t="str"/>
    </row>
    <row r="117" ht="60" customHeight="1">
      <c r="A117" s="42" t="inlineStr">
        <is>
          <t>UAT-DROP-018</t>
        </is>
      </c>
      <c r="B117" s="42" t="inlineStr">
        <is>
          <t>Folder Drop</t>
        </is>
      </c>
      <c r="C117" s="42" t="inlineStr">
        <is>
          <t>P3</t>
        </is>
      </c>
      <c r="D117" s="42" t="inlineStr">
        <is>
          <t>Behavioral</t>
        </is>
      </c>
      <c r="E117" s="42" t="inlineStr">
        <is>
          <t>Current 17234f7 repair</t>
        </is>
      </c>
      <c r="F117" s="42" t="inlineStr">
        <is>
          <t>Disk full/permission denied</t>
        </is>
      </c>
      <c r="G117" s="42" t="inlineStr">
        <is>
          <t>Constrained target directory</t>
        </is>
      </c>
      <c r="H117" s="42" t="inlineStr">
        <is>
          <t>Import</t>
        </is>
      </c>
      <c r="I117" s="42" t="inlineStr">
        <is>
          <t>Atomic failure, no corrupt partial metadata</t>
        </is>
      </c>
      <c r="J117" s="42" t="inlineStr">
        <is>
          <t>Disk/server log</t>
        </is>
      </c>
      <c r="K117" s="42" t="inlineStr">
        <is>
          <t>Partial</t>
        </is>
      </c>
      <c r="L117" s="42" t="inlineStr">
        <is>
          <t>QA Automation</t>
        </is>
      </c>
      <c r="M117" s="42" t="inlineStr">
        <is>
          <t>Not Executed</t>
        </is>
      </c>
      <c r="N117" s="42" t="str"/>
    </row>
    <row r="118" ht="60" customHeight="1">
      <c r="A118" s="42" t="inlineStr">
        <is>
          <t>UAT-DROP-019</t>
        </is>
      </c>
      <c r="B118" s="42" t="inlineStr">
        <is>
          <t>Folder Drop</t>
        </is>
      </c>
      <c r="C118" s="42" t="inlineStr">
        <is>
          <t>P3</t>
        </is>
      </c>
      <c r="D118" s="42" t="inlineStr">
        <is>
          <t>Behavioral</t>
        </is>
      </c>
      <c r="E118" s="42" t="inlineStr">
        <is>
          <t>Current 17234f7 repair</t>
        </is>
      </c>
      <c r="F118" s="42" t="inlineStr">
        <is>
          <t>Unicode/long filenames</t>
        </is>
      </c>
      <c r="G118" s="42" t="inlineStr">
        <is>
          <t>International and 250-char names</t>
        </is>
      </c>
      <c r="H118" s="42" t="inlineStr">
        <is>
          <t>Import</t>
        </is>
      </c>
      <c r="I118" s="42" t="inlineStr">
        <is>
          <t>Safe deterministic naming with original display name retained</t>
        </is>
      </c>
      <c r="J118" s="42" t="inlineStr">
        <is>
          <t>Metadata/disk listing</t>
        </is>
      </c>
      <c r="K118" s="42" t="inlineStr">
        <is>
          <t>Partial</t>
        </is>
      </c>
      <c r="L118" s="42" t="inlineStr">
        <is>
          <t>QA Automation</t>
        </is>
      </c>
      <c r="M118" s="42" t="inlineStr">
        <is>
          <t>Not Executed</t>
        </is>
      </c>
      <c r="N118" s="42" t="str"/>
    </row>
    <row r="119" ht="60" customHeight="1">
      <c r="A119" s="42" t="inlineStr">
        <is>
          <t>UAT-DROP-020</t>
        </is>
      </c>
      <c r="B119" s="42" t="inlineStr">
        <is>
          <t>Folder Drop</t>
        </is>
      </c>
      <c r="C119" s="42" t="inlineStr">
        <is>
          <t>P3</t>
        </is>
      </c>
      <c r="D119" s="42" t="inlineStr">
        <is>
          <t>Behavioral</t>
        </is>
      </c>
      <c r="E119" s="42" t="inlineStr">
        <is>
          <t>Current 17234f7 repair</t>
        </is>
      </c>
      <c r="F119" s="42" t="inlineStr">
        <is>
          <t>Repeated large imports</t>
        </is>
      </c>
      <c r="G119" s="42" t="inlineStr">
        <is>
          <t>Five cycles of 1,000 files</t>
        </is>
      </c>
      <c r="H119" s="42" t="inlineStr">
        <is>
          <t>Import and inspect</t>
        </is>
      </c>
      <c r="I119" s="42" t="inlineStr">
        <is>
          <t>No runaway UI degradation; storage tools expose growth</t>
        </is>
      </c>
      <c r="J119" s="42" t="inlineStr">
        <is>
          <t>Performance/storage report</t>
        </is>
      </c>
      <c r="K119" s="42" t="inlineStr">
        <is>
          <t>Partial</t>
        </is>
      </c>
      <c r="L119" s="42" t="inlineStr">
        <is>
          <t>QA Automation</t>
        </is>
      </c>
      <c r="M119" s="42" t="inlineStr">
        <is>
          <t>Not Executed</t>
        </is>
      </c>
      <c r="N119" s="42" t="str"/>
    </row>
    <row r="120" ht="60" customHeight="1">
      <c r="A120" s="42" t="inlineStr">
        <is>
          <t>UAT-PLAY-015</t>
        </is>
      </c>
      <c r="B120" s="42" t="inlineStr">
        <is>
          <t>Playback</t>
        </is>
      </c>
      <c r="C120" s="42" t="inlineStr">
        <is>
          <t>P3</t>
        </is>
      </c>
      <c r="D120" s="42" t="inlineStr">
        <is>
          <t>Behavioral</t>
        </is>
      </c>
      <c r="E120" s="42" t="inlineStr">
        <is>
          <t>Current 17234f7 repair</t>
        </is>
      </c>
      <c r="F120" s="42" t="inlineStr">
        <is>
          <t>End-of-sequence replay</t>
        </is>
      </c>
      <c r="G120" s="42" t="inlineStr">
        <is>
          <t>Completed playback</t>
        </is>
      </c>
      <c r="H120" s="42" t="inlineStr">
        <is>
          <t>Press Play again</t>
        </is>
      </c>
      <c r="I120" s="42" t="inlineStr">
        <is>
          <t>Starts from defined position with clear state</t>
        </is>
      </c>
      <c r="J120" s="42" t="inlineStr">
        <is>
          <t>Screen recording</t>
        </is>
      </c>
      <c r="K120" s="42" t="inlineStr">
        <is>
          <t>Partial</t>
        </is>
      </c>
      <c r="L120" s="42" t="inlineStr">
        <is>
          <t>QA Automation</t>
        </is>
      </c>
      <c r="M120" s="42" t="inlineStr">
        <is>
          <t>Not Executed</t>
        </is>
      </c>
      <c r="N120" s="42" t="str"/>
    </row>
    <row r="121" ht="60" customHeight="1">
      <c r="A121" s="42" t="inlineStr">
        <is>
          <t>UAT-PLAY-016</t>
        </is>
      </c>
      <c r="B121" s="42" t="inlineStr">
        <is>
          <t>Playback</t>
        </is>
      </c>
      <c r="C121" s="42" t="inlineStr">
        <is>
          <t>P3</t>
        </is>
      </c>
      <c r="D121" s="42" t="inlineStr">
        <is>
          <t>Behavioral</t>
        </is>
      </c>
      <c r="E121" s="42" t="inlineStr">
        <is>
          <t>Decision-dependent</t>
        </is>
      </c>
      <c r="F121" s="42" t="inlineStr">
        <is>
          <t>Stop and restart semantics</t>
        </is>
      </c>
      <c r="G121" s="42" t="inlineStr">
        <is>
          <t>A sequence with picture and overlapping audio</t>
        </is>
      </c>
      <c r="H121" s="42" t="inlineStr">
        <is>
          <t>Play; pause; invoke Stop; invoke Restart; repeat from end and from a gap</t>
        </is>
      </c>
      <c r="I121" s="42" t="inlineStr">
        <is>
          <t>Every command has distinct documented behavior, all media stops, and labels/state remain synchronized</t>
        </is>
      </c>
      <c r="J121" s="42" t="inlineStr">
        <is>
          <t>Screen recording plus media event trace</t>
        </is>
      </c>
      <c r="K121" s="42" t="inlineStr">
        <is>
          <t>Yes</t>
        </is>
      </c>
      <c r="L121" s="42" t="inlineStr">
        <is>
          <t>QA Automation</t>
        </is>
      </c>
      <c r="M121" s="42" t="inlineStr">
        <is>
          <t>Not Executed</t>
        </is>
      </c>
      <c r="N121" s="42" t="str"/>
    </row>
    <row r="122" ht="60" customHeight="1">
      <c r="A122" s="42" t="inlineStr">
        <is>
          <t>UAT-PLAY-017</t>
        </is>
      </c>
      <c r="B122" s="42" t="inlineStr">
        <is>
          <t>Playback</t>
        </is>
      </c>
      <c r="C122" s="42" t="inlineStr">
        <is>
          <t>P3</t>
        </is>
      </c>
      <c r="D122" s="42" t="inlineStr">
        <is>
          <t>Behavioral</t>
        </is>
      </c>
      <c r="E122" s="42" t="inlineStr">
        <is>
          <t>Future if approved</t>
        </is>
      </c>
      <c r="F122" s="42" t="inlineStr">
        <is>
          <t>Playback-speed control</t>
        </is>
      </c>
      <c r="G122" s="42" t="inlineStr">
        <is>
          <t>Approved speed feature and audio with recognizable pitch</t>
        </is>
      </c>
      <c r="H122" s="42" t="inlineStr">
        <is>
          <t>Run 0.25×, 0.5×, 1×, 1.5×, 2×; seek and change speed while playing</t>
        </is>
      </c>
      <c r="I122" s="42" t="inlineStr">
        <is>
          <t>Rate is always visible; audio/picture stay synchronized; pitch policy matches spec; unsupported rates cannot be selected</t>
        </is>
      </c>
      <c r="J122" s="42" t="inlineStr">
        <is>
          <t>Screen recording and A/V timestamp trace</t>
        </is>
      </c>
      <c r="K122" s="42" t="inlineStr">
        <is>
          <t>Yes</t>
        </is>
      </c>
      <c r="L122" s="42" t="inlineStr">
        <is>
          <t>QA Automation</t>
        </is>
      </c>
      <c r="M122" s="42" t="inlineStr">
        <is>
          <t>Not Executed</t>
        </is>
      </c>
      <c r="N122" s="42" t="str"/>
    </row>
    <row r="123" ht="60" customHeight="1">
      <c r="A123" s="42" t="inlineStr">
        <is>
          <t>UAT-PLAY-018</t>
        </is>
      </c>
      <c r="B123" s="42" t="inlineStr">
        <is>
          <t>Playback</t>
        </is>
      </c>
      <c r="C123" s="42" t="inlineStr">
        <is>
          <t>P3</t>
        </is>
      </c>
      <c r="D123" s="42" t="inlineStr">
        <is>
          <t>Behavioral</t>
        </is>
      </c>
      <c r="E123" s="42" t="inlineStr">
        <is>
          <t>Future if approved</t>
        </is>
      </c>
      <c r="F123" s="42" t="inlineStr">
        <is>
          <t>Loop modes</t>
        </is>
      </c>
      <c r="G123" s="42" t="inlineStr">
        <is>
          <t>Approved sequence/clip/range loop feature</t>
        </is>
      </c>
      <c r="H123" s="42" t="inlineStr">
        <is>
          <t>Loop full sequence, selected clip, and marked range; exit loop with mouse and keyboard</t>
        </is>
      </c>
      <c r="I123" s="42" t="inlineStr">
        <is>
          <t>Boundaries repeat within preview tolerance, state is visible, and exit is immediate</t>
        </is>
      </c>
      <c r="J123" s="42" t="inlineStr">
        <is>
          <t>Screen recording and boundary timestamps</t>
        </is>
      </c>
      <c r="K123" s="42" t="inlineStr">
        <is>
          <t>Yes</t>
        </is>
      </c>
      <c r="L123" s="42" t="inlineStr">
        <is>
          <t>QA Automation</t>
        </is>
      </c>
      <c r="M123" s="42" t="inlineStr">
        <is>
          <t>Not Executed</t>
        </is>
      </c>
      <c r="N123" s="42" t="str"/>
    </row>
    <row r="124" ht="60" customHeight="1">
      <c r="A124" s="42" t="inlineStr">
        <is>
          <t>UAT-REG-008</t>
        </is>
      </c>
      <c r="B124" s="42" t="inlineStr">
        <is>
          <t>Regression</t>
        </is>
      </c>
      <c r="C124" s="42" t="inlineStr">
        <is>
          <t>P3</t>
        </is>
      </c>
      <c r="D124" s="42" t="inlineStr">
        <is>
          <t>Regression</t>
        </is>
      </c>
      <c r="E124" s="42" t="inlineStr">
        <is>
          <t>Current 17234f7 repair</t>
        </is>
      </c>
      <c r="F124" s="42" t="inlineStr">
        <is>
          <t>Restart recovery</t>
        </is>
      </c>
      <c r="G124" s="42" t="inlineStr">
        <is>
          <t>Stop/restart app during dirty/import state</t>
        </is>
      </c>
      <c r="H124" s="42" t="inlineStr">
        <is>
          <t>Relaunch</t>
        </is>
      </c>
      <c r="I124" s="42" t="inlineStr">
        <is>
          <t>Clear recovery behavior; no corrupt state</t>
        </is>
      </c>
      <c r="J124" s="42" t="inlineStr">
        <is>
          <t>Recovery log</t>
        </is>
      </c>
      <c r="K124" s="42" t="inlineStr">
        <is>
          <t>Yes</t>
        </is>
      </c>
      <c r="L124" s="42" t="inlineStr">
        <is>
          <t>QA Automation</t>
        </is>
      </c>
      <c r="M124" s="42" t="inlineStr">
        <is>
          <t>Not Executed</t>
        </is>
      </c>
      <c r="N124" s="42" t="str"/>
    </row>
    <row r="125" ht="60" customHeight="1">
      <c r="A125" s="42" t="inlineStr">
        <is>
          <t>UAT-REG-009</t>
        </is>
      </c>
      <c r="B125" s="42" t="inlineStr">
        <is>
          <t>Regression</t>
        </is>
      </c>
      <c r="C125" s="42" t="inlineStr">
        <is>
          <t>P3</t>
        </is>
      </c>
      <c r="D125" s="42" t="inlineStr">
        <is>
          <t>Regression</t>
        </is>
      </c>
      <c r="E125" s="42" t="inlineStr">
        <is>
          <t>Current 17234f7 repair</t>
        </is>
      </c>
      <c r="F125" s="42" t="inlineStr">
        <is>
          <t>Long-session stability</t>
        </is>
      </c>
      <c r="G125" s="42" t="inlineStr">
        <is>
          <t>Use editor for prolonged multi-operation session</t>
        </is>
      </c>
      <c r="H125" s="42" t="inlineStr">
        <is>
          <t>Monitor memory/listeners</t>
        </is>
      </c>
      <c r="I125" s="42" t="inlineStr">
        <is>
          <t>No runaway memory/listeners or duplicated media playback</t>
        </is>
      </c>
      <c r="J125" s="42" t="inlineStr">
        <is>
          <t>Performance profile</t>
        </is>
      </c>
      <c r="K125" s="42" t="inlineStr">
        <is>
          <t>Yes</t>
        </is>
      </c>
      <c r="L125" s="42" t="inlineStr">
        <is>
          <t>QA Automation</t>
        </is>
      </c>
      <c r="M125" s="42" t="inlineStr">
        <is>
          <t>Not Executed</t>
        </is>
      </c>
      <c r="N125" s="42" t="str"/>
    </row>
    <row r="126" ht="60" customHeight="1">
      <c r="A126" s="42" t="inlineStr">
        <is>
          <t>UAT-REG-010</t>
        </is>
      </c>
      <c r="B126" s="42" t="inlineStr">
        <is>
          <t>Regression</t>
        </is>
      </c>
      <c r="C126" s="42" t="inlineStr">
        <is>
          <t>P3</t>
        </is>
      </c>
      <c r="D126" s="42" t="inlineStr">
        <is>
          <t>Regression</t>
        </is>
      </c>
      <c r="E126" s="42" t="inlineStr">
        <is>
          <t>Current 17234f7 repair</t>
        </is>
      </c>
      <c r="F126" s="42" t="inlineStr">
        <is>
          <t>Canonical branch policy</t>
        </is>
      </c>
      <c r="G126" s="42" t="inlineStr">
        <is>
          <t>Inspect main/master workflow</t>
        </is>
      </c>
      <c r="H126" s="42" t="inlineStr">
        <is>
          <t>Release process</t>
        </is>
      </c>
      <c r="I126" s="42" t="inlineStr">
        <is>
          <t>One canonical branch or synchronized protected policy</t>
        </is>
      </c>
      <c r="J126" s="42" t="inlineStr">
        <is>
          <t>Repository settings evidence</t>
        </is>
      </c>
      <c r="K126" s="42" t="inlineStr">
        <is>
          <t>Yes</t>
        </is>
      </c>
      <c r="L126" s="42" t="inlineStr">
        <is>
          <t>QA Automation</t>
        </is>
      </c>
      <c r="M126" s="42" t="inlineStr">
        <is>
          <t>Not Executed</t>
        </is>
      </c>
      <c r="N126" s="42" t="str"/>
    </row>
    <row r="127" ht="60" customHeight="1">
      <c r="A127" s="42" t="inlineStr">
        <is>
          <t>UAT-RESP-004</t>
        </is>
      </c>
      <c r="B127" s="42" t="inlineStr">
        <is>
          <t>Responsive</t>
        </is>
      </c>
      <c r="C127" s="42" t="inlineStr">
        <is>
          <t>P3</t>
        </is>
      </c>
      <c r="D127" s="42" t="inlineStr">
        <is>
          <t>Behavioral</t>
        </is>
      </c>
      <c r="E127" s="42" t="inlineStr">
        <is>
          <t>Current 17234f7 repair</t>
        </is>
      </c>
      <c r="F127" s="42" t="inlineStr">
        <is>
          <t>4K at 150%</t>
        </is>
      </c>
      <c r="G127" s="42" t="inlineStr">
        <is>
          <t>4K display</t>
        </is>
      </c>
      <c r="H127" s="42" t="inlineStr">
        <is>
          <t>Complete flows</t>
        </is>
      </c>
      <c r="I127" s="42" t="inlineStr">
        <is>
          <t>Density remains readable; controls not excessively tiny</t>
        </is>
      </c>
      <c r="J127" s="42" t="inlineStr">
        <is>
          <t>Screenshots</t>
        </is>
      </c>
      <c r="K127" s="42" t="inlineStr">
        <is>
          <t>Partial</t>
        </is>
      </c>
      <c r="L127" s="42" t="inlineStr">
        <is>
          <t>Accessibility QA + QA Automation</t>
        </is>
      </c>
      <c r="M127" s="42" t="inlineStr">
        <is>
          <t>Not Executed</t>
        </is>
      </c>
      <c r="N127" s="42" t="str"/>
    </row>
    <row r="128" ht="60" customHeight="1">
      <c r="A128" s="42" t="inlineStr">
        <is>
          <t>UAT-UX-005</t>
        </is>
      </c>
      <c r="B128" s="42" t="inlineStr">
        <is>
          <t>Shared Guidance</t>
        </is>
      </c>
      <c r="C128" s="42" t="inlineStr">
        <is>
          <t>P3</t>
        </is>
      </c>
      <c r="D128" s="42" t="inlineStr">
        <is>
          <t>Behavioral</t>
        </is>
      </c>
      <c r="E128" s="42" t="inlineStr">
        <is>
          <t>Current / decision-dependent</t>
        </is>
      </c>
      <c r="F128" s="42" t="inlineStr">
        <is>
          <t>One-time coach-mark persistence</t>
        </is>
      </c>
      <c r="G128" s="42" t="inlineStr">
        <is>
          <t>Fresh user state</t>
        </is>
      </c>
      <c r="H128" s="42" t="inlineStr">
        <is>
          <t>Open feature; dismiss; complete successful action; reload; use Help &gt; Replay</t>
        </is>
      </c>
      <c r="I128" s="42" t="inlineStr">
        <is>
          <t>Guidance does not recur automatically after success and can be replayed deliberately</t>
        </is>
      </c>
      <c r="J128" s="42" t="inlineStr">
        <is>
          <t>Screen recording and stored preference</t>
        </is>
      </c>
      <c r="K128" s="42" t="inlineStr">
        <is>
          <t>Yes</t>
        </is>
      </c>
      <c r="L128" s="42" t="inlineStr">
        <is>
          <t>QA Automation</t>
        </is>
      </c>
      <c r="M128" s="42" t="inlineStr">
        <is>
          <t>Not Executed</t>
        </is>
      </c>
      <c r="N128" s="42" t="str"/>
    </row>
    <row r="129" ht="60" customHeight="1">
      <c r="A129" s="42" t="inlineStr">
        <is>
          <t>UAT-TAKE-010</t>
        </is>
      </c>
      <c r="B129" s="42" t="inlineStr">
        <is>
          <t>Takes</t>
        </is>
      </c>
      <c r="C129" s="42" t="inlineStr">
        <is>
          <t>P3</t>
        </is>
      </c>
      <c r="D129" s="42" t="inlineStr">
        <is>
          <t>Behavioral</t>
        </is>
      </c>
      <c r="E129" s="42" t="inlineStr">
        <is>
          <t>Current 17234f7 repair</t>
        </is>
      </c>
      <c r="F129" s="42" t="inlineStr">
        <is>
          <t>Filter persistence</t>
        </is>
      </c>
      <c r="G129" s="42" t="inlineStr">
        <is>
          <t>Choose preferred filter</t>
        </is>
      </c>
      <c r="H129" s="42" t="inlineStr">
        <is>
          <t>Navigate away/relaunch</t>
        </is>
      </c>
      <c r="I129" s="42" t="inlineStr">
        <is>
          <t>Preference restores safely</t>
        </is>
      </c>
      <c r="J129" s="42" t="inlineStr">
        <is>
          <t>Screen recording</t>
        </is>
      </c>
      <c r="K129" s="42" t="inlineStr">
        <is>
          <t>Yes</t>
        </is>
      </c>
      <c r="L129" s="42" t="inlineStr">
        <is>
          <t>QA Automation</t>
        </is>
      </c>
      <c r="M129" s="42" t="inlineStr">
        <is>
          <t>Not Executed</t>
        </is>
      </c>
      <c r="N129" s="42" t="str"/>
    </row>
    <row r="130" ht="60" customHeight="1">
      <c r="A130" s="42" t="inlineStr">
        <is>
          <t>UAT-TAKE-013</t>
        </is>
      </c>
      <c r="B130" s="42" t="inlineStr">
        <is>
          <t>Takes</t>
        </is>
      </c>
      <c r="C130" s="42" t="inlineStr">
        <is>
          <t>P3</t>
        </is>
      </c>
      <c r="D130" s="42" t="inlineStr">
        <is>
          <t>Behavioral</t>
        </is>
      </c>
      <c r="E130" s="42" t="inlineStr">
        <is>
          <t>Future if approved</t>
        </is>
      </c>
      <c r="F130" s="42" t="inlineStr">
        <is>
          <t>Take notes, rating, tags, and color</t>
        </is>
      </c>
      <c r="G130" s="42" t="inlineStr">
        <is>
          <t>Approved metadata feature</t>
        </is>
      </c>
      <c r="H130" s="42" t="inlineStr">
        <is>
          <t>Edit metadata in drawer; filter/search; reload</t>
        </is>
      </c>
      <c r="I130" s="42" t="inlineStr">
        <is>
          <t>Metadata persists, is searchable, and does not clutter cards or rely on color alone</t>
        </is>
      </c>
      <c r="J130" s="42" t="inlineStr">
        <is>
          <t>Screen recording and saved data</t>
        </is>
      </c>
      <c r="K130" s="42" t="inlineStr">
        <is>
          <t>Yes</t>
        </is>
      </c>
      <c r="L130" s="42" t="inlineStr">
        <is>
          <t>QA Automation</t>
        </is>
      </c>
      <c r="M130" s="42" t="inlineStr">
        <is>
          <t>Not Executed</t>
        </is>
      </c>
      <c r="N130" s="42" t="str"/>
    </row>
    <row r="131" ht="60" customHeight="1">
      <c r="A131" s="42" t="inlineStr">
        <is>
          <t>UAT-PLAY-020</t>
        </is>
      </c>
      <c r="B131" s="42" t="inlineStr">
        <is>
          <t>Timeline</t>
        </is>
      </c>
      <c r="C131" s="42" t="inlineStr">
        <is>
          <t>P3</t>
        </is>
      </c>
      <c r="D131" s="42" t="inlineStr">
        <is>
          <t>Behavioral</t>
        </is>
      </c>
      <c r="E131" s="42" t="inlineStr">
        <is>
          <t>Future if approved</t>
        </is>
      </c>
      <c r="F131" s="42" t="inlineStr">
        <is>
          <t>Markers and chapter/review notes</t>
        </is>
      </c>
      <c r="G131" s="42" t="inlineStr">
        <is>
          <t>Approved marker feature</t>
        </is>
      </c>
      <c r="H131" s="42" t="inlineStr">
        <is>
          <t>Create, rename, drag, search, jump, delete, undo/redo markers using mouse and keyboard</t>
        </is>
      </c>
      <c r="I131" s="42" t="inlineStr">
        <is>
          <t>Markers persist, snap correctly, are announced, and remain out of the permanent visual surface when not needed</t>
        </is>
      </c>
      <c r="J131" s="42" t="inlineStr">
        <is>
          <t>Screen recording and saved document diff</t>
        </is>
      </c>
      <c r="K131" s="42" t="inlineStr">
        <is>
          <t>Yes</t>
        </is>
      </c>
      <c r="L131" s="42" t="inlineStr">
        <is>
          <t>QA Automation</t>
        </is>
      </c>
      <c r="M131" s="42" t="inlineStr">
        <is>
          <t>Not Executed</t>
        </is>
      </c>
      <c r="N131" s="42" t="str"/>
    </row>
    <row r="132" ht="60" customHeight="1">
      <c r="A132" s="42" t="inlineStr">
        <is>
          <t>UAT-HEUR-001</t>
        </is>
      </c>
      <c r="B132" s="42" t="inlineStr">
        <is>
          <t>UX Heuristics</t>
        </is>
      </c>
      <c r="C132" s="42" t="inlineStr">
        <is>
          <t>P3</t>
        </is>
      </c>
      <c r="D132" s="42" t="inlineStr">
        <is>
          <t>Behavioral</t>
        </is>
      </c>
      <c r="E132" s="42" t="inlineStr">
        <is>
          <t>Current / decision-dependent</t>
        </is>
      </c>
      <c r="F132" s="42" t="inlineStr">
        <is>
          <t>Nielsen heuristic scoring</t>
        </is>
      </c>
      <c r="G132" s="42" t="inlineStr">
        <is>
          <t>Current build and defined reviewer rubric</t>
        </is>
      </c>
      <c r="H132" s="42" t="inlineStr">
        <is>
          <t>Score all 10 heuristics for Sequence, Folder Drop, and Comfy Picker; attach evidence/tasks</t>
        </is>
      </c>
      <c r="I132" s="42" t="inlineStr">
        <is>
          <t>All 30 scores have evidence and linked remediation or approved exception</t>
        </is>
      </c>
      <c r="J132" s="42" t="inlineStr">
        <is>
          <t>Completed heuristic sheet</t>
        </is>
      </c>
      <c r="K132" s="42" t="inlineStr">
        <is>
          <t>No</t>
        </is>
      </c>
      <c r="L132" s="42" t="inlineStr">
        <is>
          <t>UX Research / QA</t>
        </is>
      </c>
      <c r="M132" s="42" t="inlineStr">
        <is>
          <t>Not Executed</t>
        </is>
      </c>
      <c r="N132" s="42" t="str"/>
    </row>
  </sheetData>
  <mergeCells count="2">
    <mergeCell ref="A2:N2"/>
    <mergeCell ref="A1:N1"/>
  </mergeCells>
  <conditionalFormatting sqref="C5:C132">
    <cfRule type="expression" priority="1" dxfId="0">
      <formula>C5="P1"</formula>
    </cfRule>
    <cfRule type="expression" priority="2" dxfId="1">
      <formula>C5="P2"</formula>
    </cfRule>
    <cfRule type="expression" priority="3" dxfId="2">
      <formula>C5="P3"</formula>
    </cfRule>
  </conditionalFormatting>
  <conditionalFormatting sqref="M5:M132">
    <cfRule type="expression" priority="4" dxfId="11">
      <formula>M5="Passed"</formula>
    </cfRule>
    <cfRule type="expression" priority="5" dxfId="0">
      <formula>M5="Failed"</formula>
    </cfRule>
    <cfRule type="expression" priority="6" dxfId="1">
      <formula>M5="Blocked"</formula>
    </cfRule>
  </conditionalFormatting>
  <dataValidations count="3">
    <dataValidation sqref="C5:C132" showDropDown="0" showInputMessage="0" showErrorMessage="0" allowBlank="0" type="list">
      <formula1>"P1,P2,P3"</formula1>
    </dataValidation>
    <dataValidation sqref="K5:K132" showDropDown="0" showInputMessage="0" showErrorMessage="0" allowBlank="0" type="list">
      <formula1>"Yes,Partial,No"</formula1>
    </dataValidation>
    <dataValidation sqref="M5:M132" showDropDown="0" showInputMessage="0" showErrorMessage="0" allowBlank="0" type="list">
      <formula1>"Not Executed,Passed,Failed,Blocked,Not Applicable"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31" customWidth="1" min="1" max="1"/>
    <col width="48" customWidth="1" min="2" max="2"/>
    <col width="46" customWidth="1" min="3" max="3"/>
    <col width="27" customWidth="1" min="4" max="4"/>
    <col width="28" customWidth="1" min="5" max="5"/>
    <col width="42" customWidth="1" min="6" max="6"/>
    <col width="43" customWidth="1" min="7" max="7"/>
    <col width="9" customWidth="1" min="8" max="8"/>
    <col width="31" customWidth="1" min="9" max="9"/>
    <col width="50" customWidth="1" min="10" max="10"/>
  </cols>
  <sheetData>
    <row r="1" ht="30" customHeight="1">
      <c r="A1" s="23" t="inlineStr">
        <is>
          <t>Decluttering Architecture — Drawers, Modals, Sheets, Popovers</t>
        </is>
      </c>
      <c r="B1" s="1" t="n"/>
      <c r="C1" s="1" t="n"/>
      <c r="D1" s="1" t="n"/>
      <c r="E1" s="1" t="n"/>
      <c r="F1" s="1" t="n"/>
      <c r="G1" s="1" t="n"/>
      <c r="H1" s="1" t="n"/>
      <c r="I1" s="1" t="n"/>
      <c r="J1" s="1" t="n"/>
    </row>
    <row r="2" ht="28" customHeight="1">
      <c r="A2" s="31" t="inlineStr">
        <is>
          <t>Primary surfaces remain quiet. Secondary power is assigned to explicit progressive containers with a shared focus, dismissal, dirty-state, responsive, and stacking contract.</t>
        </is>
      </c>
      <c r="B2" s="1" t="n"/>
      <c r="C2" s="1" t="n"/>
      <c r="D2" s="1" t="n"/>
      <c r="E2" s="1" t="n"/>
      <c r="F2" s="1" t="n"/>
      <c r="G2" s="1" t="n"/>
      <c r="H2" s="1" t="n"/>
      <c r="I2" s="1" t="n"/>
      <c r="J2" s="1" t="n"/>
    </row>
    <row r="4" ht="34" customHeight="1">
      <c r="A4" s="35" t="inlineStr">
        <is>
          <t>Surface</t>
        </is>
      </c>
      <c r="B4" s="35" t="inlineStr">
        <is>
          <t>Keep Permanent</t>
        </is>
      </c>
      <c r="C4" s="35" t="inlineStr">
        <is>
          <t>Move Off Surface</t>
        </is>
      </c>
      <c r="D4" s="35" t="inlineStr">
        <is>
          <t>Container</t>
        </is>
      </c>
      <c r="E4" s="35" t="inlineStr">
        <is>
          <t>Trigger</t>
        </is>
      </c>
      <c r="F4" s="35" t="inlineStr">
        <is>
          <t>Dismiss / Return Focus</t>
        </is>
      </c>
      <c r="G4" s="35" t="inlineStr">
        <is>
          <t>Responsive Adaptation</t>
        </is>
      </c>
      <c r="H4" s="35" t="inlineStr">
        <is>
          <t>Priority</t>
        </is>
      </c>
      <c r="I4" s="35" t="inlineStr">
        <is>
          <t>Task IDs</t>
        </is>
      </c>
      <c r="J4" s="35" t="inlineStr">
        <is>
          <t>Acceptance</t>
        </is>
      </c>
    </row>
    <row r="5" ht="78" customHeight="1">
      <c r="A5" s="42" t="inlineStr">
        <is>
          <t>Sequence — Program review</t>
        </is>
      </c>
      <c r="B5" s="42" t="inlineStr">
        <is>
          <t>Program monitor; Play/Pause; scrubber/playhead; current take/clip name; compact take switcher; essential error/buffering state</t>
        </is>
      </c>
      <c r="C5" s="42" t="inlineStr">
        <is>
          <t>All secondary metadata, management, compare, and advanced transport controls</t>
        </is>
      </c>
      <c r="D5" s="42" t="inlineStr">
        <is>
          <t>Primary surface + progressive containers</t>
        </is>
      </c>
      <c r="E5" s="42" t="inlineStr">
        <is>
          <t>Persistent primary controls only</t>
        </is>
      </c>
      <c r="F5" s="42" t="inlineStr">
        <is>
          <t>N/A</t>
        </is>
      </c>
      <c r="G5" s="42" t="inlineStr">
        <is>
          <t>Keep monitor primary; collapse secondary panels first</t>
        </is>
      </c>
      <c r="H5" s="42" t="inlineStr">
        <is>
          <t>P2</t>
        </is>
      </c>
      <c r="I5" s="42" t="inlineStr">
        <is>
          <t>UX-DECLUTTER-001</t>
        </is>
      </c>
      <c r="J5" s="42" t="inlineStr">
        <is>
          <t>A reviewer can play, seek, and switch takes without opening any secondary container; no secondary chrome competes with media.</t>
        </is>
      </c>
    </row>
    <row r="6" ht="78" customHeight="1">
      <c r="A6" s="42" t="inlineStr">
        <is>
          <t>Sequence — Take details</t>
        </is>
      </c>
      <c r="B6" s="42" t="inlineStr">
        <is>
          <t>Current take name, active/latest status, compact badge</t>
        </is>
      </c>
      <c r="C6" s="42" t="inlineStr">
        <is>
          <t>Notes, tags, rating, color, technical metadata, source/provenance</t>
        </is>
      </c>
      <c r="D6" s="42" t="inlineStr">
        <is>
          <t>Right non-modal drawer</t>
        </is>
      </c>
      <c r="E6" s="42" t="inlineStr">
        <is>
          <t>Details button, take selection preference, or keyboard shortcut</t>
        </is>
      </c>
      <c r="F6" s="42" t="inlineStr">
        <is>
          <t>Esc, close button, optional outside click; return focus to originating take</t>
        </is>
      </c>
      <c r="G6" s="42" t="inlineStr">
        <is>
          <t>Docked/right drawer on wide desktop; overlay panel on constrained desktop; bottom sheet only for approved touch targets</t>
        </is>
      </c>
      <c r="H6" s="42" t="inlineStr">
        <is>
          <t>P2</t>
        </is>
      </c>
      <c r="I6" s="42" t="inlineStr">
        <is>
          <t>TAKE-008,UX-DECLUTTER-001,UX-CONTAINER-001</t>
        </is>
      </c>
      <c r="J6" s="42" t="inlineStr">
        <is>
          <t>Details remain visible beside playback when space permits and never hide the selected take or steal permanent layout width.</t>
        </is>
      </c>
    </row>
    <row r="7" ht="78" customHeight="1">
      <c r="A7" s="42" t="inlineStr">
        <is>
          <t>Sequence — Manage Takes</t>
        </is>
      </c>
      <c r="B7" s="42" t="inlineStr">
        <is>
          <t>Compact switcher and primary Replace action</t>
        </is>
      </c>
      <c r="C7" s="42" t="inlineStr">
        <is>
          <t>Create, duplicate, rename, delete, reorder, bulk metadata</t>
        </is>
      </c>
      <c r="D7" s="42" t="inlineStr">
        <is>
          <t>Focused modal or large side drawer</t>
        </is>
      </c>
      <c r="E7" s="42" t="inlineStr">
        <is>
          <t>Manage Takes command</t>
        </is>
      </c>
      <c r="F7" s="42" t="inlineStr">
        <is>
          <t>Explicit close/Cancel; dirty confirmation; focus returns to command</t>
        </is>
      </c>
      <c r="G7" s="42" t="inlineStr">
        <is>
          <t>Full-screen modal on constrained layouts</t>
        </is>
      </c>
      <c r="H7" s="42" t="inlineStr">
        <is>
          <t>P2</t>
        </is>
      </c>
      <c r="I7" s="42" t="inlineStr">
        <is>
          <t>TAKE-007,TAKE-009,UX-DECLUTTER-001,UX-CONTAINER-001</t>
        </is>
      </c>
      <c r="J7" s="42" t="inlineStr">
        <is>
          <t>Destructive and structural operations are isolated, undoable, and cannot be triggered accidentally from dense take cards.</t>
        </is>
      </c>
    </row>
    <row r="8" ht="78" customHeight="1">
      <c r="A8" s="42" t="inlineStr">
        <is>
          <t>Sequence — Advanced transport</t>
        </is>
      </c>
      <c r="B8" s="42" t="inlineStr">
        <is>
          <t>Play/Pause, seek, current time</t>
        </is>
      </c>
      <c r="C8" s="42" t="inlineStr">
        <is>
          <t>Speed, loop, frame-step options, time display mode, fit/zoom presets</t>
        </is>
      </c>
      <c r="D8" s="42" t="inlineStr">
        <is>
          <t>Popover or compact sheet</t>
        </is>
      </c>
      <c r="E8" s="42" t="inlineStr">
        <is>
          <t>More/transport options button or approved long-press</t>
        </is>
      </c>
      <c r="F8" s="42" t="inlineStr">
        <is>
          <t>Esc/outside click/explicit close; state remains visible when active</t>
        </is>
      </c>
      <c r="G8" s="42" t="inlineStr">
        <is>
          <t>Popover on desktop; bottom sheet on approved touch targets</t>
        </is>
      </c>
      <c r="H8" s="42" t="inlineStr">
        <is>
          <t>P3</t>
        </is>
      </c>
      <c r="I8" s="42" t="inlineStr">
        <is>
          <t>SEQ-PLAY-013,SEQ-PLAY-014,SEQ-PLAY-015,SEQ-PLAY-016,SEQ-PLAY-012</t>
        </is>
      </c>
      <c r="J8" s="42" t="inlineStr">
        <is>
          <t>The main transport stays quiet while any active non-default speed/loop state remains unmistakable.</t>
        </is>
      </c>
    </row>
    <row r="9" ht="78" customHeight="1">
      <c r="A9" s="42" t="inlineStr">
        <is>
          <t>Sequence — Markers and review tools</t>
        </is>
      </c>
      <c r="B9" s="42" t="inlineStr">
        <is>
          <t>Only marker indicators on the timeline when markers exist</t>
        </is>
      </c>
      <c r="C9" s="42" t="inlineStr">
        <is>
          <t>Create/edit/delete marker commands and advanced timeline tools</t>
        </is>
      </c>
      <c r="D9" s="42" t="inlineStr">
        <is>
          <t>Context menu plus optional marker list drawer</t>
        </is>
      </c>
      <c r="E9" s="42" t="inlineStr">
        <is>
          <t>Timeline context menu, shortcut, or marker click</t>
        </is>
      </c>
      <c r="F9" s="42" t="inlineStr">
        <is>
          <t>Standard menu dismissal; drawer returns focus to marker</t>
        </is>
      </c>
      <c r="G9" s="42" t="inlineStr">
        <is>
          <t>Context menu/popup list within viewport</t>
        </is>
      </c>
      <c r="H9" s="42" t="inlineStr">
        <is>
          <t>P3</t>
        </is>
      </c>
      <c r="I9" s="42" t="inlineStr">
        <is>
          <t>SEQ-MARK-001,UX-DECLUTTER-001</t>
        </is>
      </c>
      <c r="J9" s="42" t="inlineStr">
        <is>
          <t>Marker tools do not occupy permanent toolbar space and remain fully keyboard accessible.</t>
        </is>
      </c>
    </row>
    <row r="10" ht="78" customHeight="1">
      <c r="A10" s="42" t="inlineStr">
        <is>
          <t>Sequence — A/B comparison</t>
        </is>
      </c>
      <c r="B10" s="42" t="inlineStr">
        <is>
          <t>Optional compact Compare command only</t>
        </is>
      </c>
      <c r="C10" s="42" t="inlineStr">
        <is>
          <t>Dual viewers, synchronized controls, selection/promotion actions</t>
        </is>
      </c>
      <c r="D10" s="42" t="inlineStr">
        <is>
          <t>Full modal or dedicated split-view workspace</t>
        </is>
      </c>
      <c r="E10" s="42" t="inlineStr">
        <is>
          <t>Compare selected takes</t>
        </is>
      </c>
      <c r="F10" s="42" t="inlineStr">
        <is>
          <t>Close/Apply; return focus to selected take</t>
        </is>
      </c>
      <c r="G10" s="42" t="inlineStr">
        <is>
          <t>Dedicated full-screen comparison on constrained layouts</t>
        </is>
      </c>
      <c r="H10" s="42" t="inlineStr">
        <is>
          <t>P2</t>
        </is>
      </c>
      <c r="I10" s="42" t="inlineStr">
        <is>
          <t>TAKE-003,UX-DECLUTTER-001</t>
        </is>
      </c>
      <c r="J10" s="42" t="inlineStr">
        <is>
          <t>Comparison is visually unambiguous, does not shrink the normal editor, and clearly identifies A, B, and the promoted choice.</t>
        </is>
      </c>
    </row>
    <row r="11" ht="78" customHeight="1">
      <c r="A11" s="42" t="inlineStr">
        <is>
          <t>Folder Drop — Idle target</t>
        </is>
      </c>
      <c r="B11" s="42" t="inlineStr">
        <is>
          <t>Minimal target, destination name, supported high-level media hint, Import folder button</t>
        </is>
      </c>
      <c r="C11" s="42" t="inlineStr">
        <is>
          <t>Recursive behavior, conflict policy, filters, hidden-file policy, quota details</t>
        </is>
      </c>
      <c r="D11" s="42" t="inlineStr">
        <is>
          <t>Options drawer or gear popover</t>
        </is>
      </c>
      <c r="E11" s="42" t="inlineStr">
        <is>
          <t>Gear/options command</t>
        </is>
      </c>
      <c r="F11" s="42" t="inlineStr">
        <is>
          <t>Esc/outside click/close; return focus to gear</t>
        </is>
      </c>
      <c r="G11" s="42" t="inlineStr">
        <is>
          <t>Popover on desktop; sheet on approved touch targets</t>
        </is>
      </c>
      <c r="H11" s="42" t="inlineStr">
        <is>
          <t>P2</t>
        </is>
      </c>
      <c r="I11" s="42" t="inlineStr">
        <is>
          <t>UX-DECLUTTER-002,IMP-020,IMP-024,UX-CONTAINER-001</t>
        </is>
      </c>
      <c r="J11" s="42" t="inlineStr">
        <is>
          <t>The idle drop zone is almost silent yet users can inspect all import rules before committing.</t>
        </is>
      </c>
    </row>
    <row r="12" ht="78" customHeight="1">
      <c r="A12" s="42" t="inlineStr">
        <is>
          <t>Folder Drop — Drag feedback</t>
        </is>
      </c>
      <c r="B12" s="42" t="inlineStr">
        <is>
          <t>Valid/invalid destination highlight and concise destination label only while dragging</t>
        </is>
      </c>
      <c r="C12" s="42" t="inlineStr">
        <is>
          <t>Detailed rejection reasons until drop/preflight</t>
        </is>
      </c>
      <c r="D12" s="42" t="inlineStr">
        <is>
          <t>Transient target state; optional tooltip</t>
        </is>
      </c>
      <c r="E12" s="42" t="inlineStr">
        <is>
          <t>Drag enter/over</t>
        </is>
      </c>
      <c r="F12" s="42" t="inlineStr">
        <is>
          <t>Guaranteed cleanup on leave, Escape, drop, error</t>
        </is>
      </c>
      <c r="G12" s="42" t="inlineStr">
        <is>
          <t>Same on supported pointer devices</t>
        </is>
      </c>
      <c r="H12" s="42" t="inlineStr">
        <is>
          <t>P2</t>
        </is>
      </c>
      <c r="I12" s="42" t="inlineStr">
        <is>
          <t>IMP-019,SCOPE-005</t>
        </is>
      </c>
      <c r="J12" s="42" t="inlineStr">
        <is>
          <t>Exactly one target is active, state does not linger, and external OS drag-image limitations are not mistaken for product defects.</t>
        </is>
      </c>
    </row>
    <row r="13" ht="78" customHeight="1">
      <c r="A13" s="42" t="inlineStr">
        <is>
          <t>Folder Drop — Progress</t>
        </is>
      </c>
      <c r="B13" s="42" t="inlineStr">
        <is>
          <t>Small import-job indicator</t>
        </is>
      </c>
      <c r="C13" s="42" t="inlineStr">
        <is>
          <t>File list, bytes, current item, cancel/pause, failure detail</t>
        </is>
      </c>
      <c r="D13" s="42" t="inlineStr">
        <is>
          <t>Non-blocking bottom sheet or floating job card</t>
        </is>
      </c>
      <c r="E13" s="42" t="inlineStr">
        <is>
          <t>Import starts</t>
        </is>
      </c>
      <c r="F13" s="42" t="inlineStr">
        <is>
          <t>May minimize; cannot dismiss terminal failures without acknowledgment</t>
        </is>
      </c>
      <c r="G13" s="42" t="inlineStr">
        <is>
          <t>Bottom sheet/floating card appropriate to supported platform</t>
        </is>
      </c>
      <c r="H13" s="42" t="inlineStr">
        <is>
          <t>P2</t>
        </is>
      </c>
      <c r="I13" s="42" t="inlineStr">
        <is>
          <t>IMP-005,IMP-025,UX-DECLUTTER-002</t>
        </is>
      </c>
      <c r="J13" s="42" t="inlineStr">
        <is>
          <t>The editor stays interactive while exact progress and cancellation remain accessible.</t>
        </is>
      </c>
    </row>
    <row r="14" ht="78" customHeight="1">
      <c r="A14" s="42" t="inlineStr">
        <is>
          <t>Folder Drop — Completion</t>
        </is>
      </c>
      <c r="B14" s="42" t="inlineStr">
        <is>
          <t>Short completion status and imported count</t>
        </is>
      </c>
      <c r="C14" s="42" t="inlineStr">
        <is>
          <t>Per-file outcomes, failure reasons, Retry failed, Undo import, View imported</t>
        </is>
      </c>
      <c r="D14" s="42" t="inlineStr">
        <is>
          <t>Expandable summary card; modal only for complex conflict resolution</t>
        </is>
      </c>
      <c r="E14" s="42" t="inlineStr">
        <is>
          <t>Job reaches complete/partial/failed/cancelled</t>
        </is>
      </c>
      <c r="F14" s="42" t="inlineStr">
        <is>
          <t>Persistent until acknowledged when partial/failed</t>
        </is>
      </c>
      <c r="G14" s="42" t="inlineStr">
        <is>
          <t>Full-width sheet/card on constrained layouts</t>
        </is>
      </c>
      <c r="H14" s="42" t="inlineStr">
        <is>
          <t>P1</t>
        </is>
      </c>
      <c r="I14" s="42" t="inlineStr">
        <is>
          <t>IMP-001,IMP-016,IMP-022,UX-DECLUTTER-002</t>
        </is>
      </c>
      <c r="J14" s="42" t="inlineStr">
        <is>
          <t>All scanned files reconcile to terminal outcomes and recovery actions are immediately available.</t>
        </is>
      </c>
    </row>
    <row r="15" ht="78" customHeight="1">
      <c r="A15" s="42" t="inlineStr">
        <is>
          <t>Comfy — Workflow toolbar</t>
        </is>
      </c>
      <c r="B15" s="42" t="inlineStr">
        <is>
          <t>Search/selected workflow; verified Loaded state; one primary Load/Queue action; concise engine status</t>
        </is>
      </c>
      <c r="C15" s="42" t="inlineStr">
        <is>
          <t>Path, hash, source, dependencies, sort/filter, preferences, batch/secondary actions</t>
        </is>
      </c>
      <c r="D15" s="42" t="inlineStr">
        <is>
          <t>Searchable command picker + progressive containers</t>
        </is>
      </c>
      <c r="E15" s="42" t="inlineStr">
        <is>
          <t>Persistent compact workflow control</t>
        </is>
      </c>
      <c r="F15" s="42" t="inlineStr">
        <is>
          <t>Picker closes on selection/Esc; focus returns to trigger</t>
        </is>
      </c>
      <c r="G15" s="42" t="inlineStr">
        <is>
          <t>Command palette/list overlay sized to viewport</t>
        </is>
      </c>
      <c r="H15" s="42" t="inlineStr">
        <is>
          <t>P1</t>
        </is>
      </c>
      <c r="I15" s="42" t="inlineStr">
        <is>
          <t>COMFY-001,COMFY-007,UX-DECLUTTER-003</t>
        </is>
      </c>
      <c r="J15" s="42" t="inlineStr">
        <is>
          <t>The toolbar never lies about selected versus loaded workflow and remains usable with thousands of entries.</t>
        </is>
      </c>
    </row>
    <row r="16" ht="78" customHeight="1">
      <c r="A16" s="42" t="inlineStr">
        <is>
          <t>Comfy — Workflow details</t>
        </is>
      </c>
      <c r="B16" s="42" t="inlineStr">
        <is>
          <t>Workflow label and verified loaded identity</t>
        </is>
      </c>
      <c r="C16" s="42" t="inlineStr">
        <is>
          <t>Canonical ID, source, path, hash/version, readiness, required nodes/models, compatibility, modified time</t>
        </is>
      </c>
      <c r="D16" s="42" t="inlineStr">
        <is>
          <t>Right non-modal details drawer</t>
        </is>
      </c>
      <c r="E16" s="42" t="inlineStr">
        <is>
          <t>Details command or selection preference</t>
        </is>
      </c>
      <c r="F16" s="42" t="inlineStr">
        <is>
          <t>Esc/close; return focus to picker option</t>
        </is>
      </c>
      <c r="G16" s="42" t="inlineStr">
        <is>
          <t>Overlay drawer on constrained desktop</t>
        </is>
      </c>
      <c r="H16" s="42" t="inlineStr">
        <is>
          <t>P2</t>
        </is>
      </c>
      <c r="I16" s="42" t="inlineStr">
        <is>
          <t>COMFY-020,COMFY-022,UX-DECLUTTER-003</t>
        </is>
      </c>
      <c r="J16" s="42" t="inlineStr">
        <is>
          <t>Provenance and diagnostics are complete without permanently widening the toolbar.</t>
        </is>
      </c>
    </row>
    <row r="17" ht="78" customHeight="1">
      <c r="A17" s="42" t="inlineStr">
        <is>
          <t>Comfy — Filters and view options</t>
        </is>
      </c>
      <c r="B17" s="42" t="inlineStr">
        <is>
          <t>Search and active-filter count/chip</t>
        </is>
      </c>
      <c r="C17" s="42" t="inlineStr">
        <is>
          <t>Source, readiness, category, sort, recent/favorite, density</t>
        </is>
      </c>
      <c r="D17" s="42" t="inlineStr">
        <is>
          <t>Filter popover</t>
        </is>
      </c>
      <c r="E17" s="42" t="inlineStr">
        <is>
          <t>Filter button</t>
        </is>
      </c>
      <c r="F17" s="42" t="inlineStr">
        <is>
          <t>Esc/outside click; active filters remain visible as chips/count</t>
        </is>
      </c>
      <c r="G17" s="42" t="inlineStr">
        <is>
          <t>Popover or full-width sheet on constrained layouts</t>
        </is>
      </c>
      <c r="H17" s="42" t="inlineStr">
        <is>
          <t>P2</t>
        </is>
      </c>
      <c r="I17" s="42" t="inlineStr">
        <is>
          <t>COMFY-007,UX-DECLUTTER-003</t>
        </is>
      </c>
      <c r="J17" s="42" t="inlineStr">
        <is>
          <t>Filtering is fast and discoverable without turning the toolbar into a control wall.</t>
        </is>
      </c>
    </row>
    <row r="18" ht="78" customHeight="1">
      <c r="A18" s="42" t="inlineStr">
        <is>
          <t>Comfy — Unsaved graph switch</t>
        </is>
      </c>
      <c r="B18" s="42" t="inlineStr">
        <is>
          <t>Dirty indicator</t>
        </is>
      </c>
      <c r="C18" s="42" t="inlineStr">
        <is>
          <t>Save/Discard/Cancel decision</t>
        </is>
      </c>
      <c r="D18" s="42" t="inlineStr">
        <is>
          <t>Confirmation modal</t>
        </is>
      </c>
      <c r="E18" s="42" t="inlineStr">
        <is>
          <t>Attempt to load a different workflow while dirty</t>
        </is>
      </c>
      <c r="F18" s="42" t="inlineStr">
        <is>
          <t>Cancel returns to current canvas and picker; focus restored</t>
        </is>
      </c>
      <c r="G18" s="42" t="inlineStr">
        <is>
          <t>Standard modal</t>
        </is>
      </c>
      <c r="H18" s="42" t="inlineStr">
        <is>
          <t>P1</t>
        </is>
      </c>
      <c r="I18" s="42" t="inlineStr">
        <is>
          <t>COMFY-002,UX-CONTAINER-001</t>
        </is>
      </c>
      <c r="J18" s="42" t="inlineStr">
        <is>
          <t>No graph work is lost without an explicit decision.</t>
        </is>
      </c>
    </row>
    <row r="19" ht="78" customHeight="1">
      <c r="A19" s="42" t="inlineStr">
        <is>
          <t>Shared — Container behavior</t>
        </is>
      </c>
      <c r="B19" s="42" t="inlineStr">
        <is>
          <t>Consistent trigger and visible active state</t>
        </is>
      </c>
      <c r="C19" s="42" t="inlineStr">
        <is>
          <t>All secondary content</t>
        </is>
      </c>
      <c r="D19" s="42" t="inlineStr">
        <is>
          <t>Shared drawer/modal/sheet/popover primitives</t>
        </is>
      </c>
      <c r="E19" s="42" t="inlineStr">
        <is>
          <t>Per feature</t>
        </is>
      </c>
      <c r="F19" s="42" t="inlineStr">
        <is>
          <t>One contract for focus entry/return, Esc, outside click, swipe, dirty state, inert background, and nested ownership</t>
        </is>
      </c>
      <c r="G19" s="42" t="inlineStr">
        <is>
          <t>Side drawer → overlay/docked panel → bottom sheet only where approved</t>
        </is>
      </c>
      <c r="H19" s="42" t="inlineStr">
        <is>
          <t>P2</t>
        </is>
      </c>
      <c r="I19" s="42" t="inlineStr">
        <is>
          <t>UX-CONTAINER-001,UX-CONTAINER-003,UX-CONTAINER-004</t>
        </is>
      </c>
      <c r="J19" s="42" t="inlineStr">
        <is>
          <t>All containers pass one automated accessibility/interaction contract and do not click through the embedded iframe.</t>
        </is>
      </c>
    </row>
    <row r="20" ht="78" customHeight="1">
      <c r="A20" s="42" t="inlineStr">
        <is>
          <t>Shared — First-use guidance</t>
        </is>
      </c>
      <c r="B20" s="42" t="inlineStr">
        <is>
          <t>Help entry only</t>
        </is>
      </c>
      <c r="C20" s="42" t="inlineStr">
        <is>
          <t>Coach marks and first-use explanation</t>
        </is>
      </c>
      <c r="D20" s="42" t="inlineStr">
        <is>
          <t>One-time coach mark or modal</t>
        </is>
      </c>
      <c r="E20" s="42" t="inlineStr">
        <is>
          <t>First eligible use; replay from Help</t>
        </is>
      </c>
      <c r="F20" s="42" t="inlineStr">
        <is>
          <t>Dismissible; completion remembered</t>
        </is>
      </c>
      <c r="G20" s="42" t="inlineStr">
        <is>
          <t>Viewport-safe</t>
        </is>
      </c>
      <c r="H20" s="42" t="inlineStr">
        <is>
          <t>P3</t>
        </is>
      </c>
      <c r="I20" s="42" t="inlineStr">
        <is>
          <t>UX-CONTAINER-002</t>
        </is>
      </c>
      <c r="J20" s="42" t="inlineStr">
        <is>
          <t>Guidance does not recur after successful use and can be deliberately replayed.</t>
        </is>
      </c>
    </row>
  </sheetData>
  <mergeCells count="2">
    <mergeCell ref="A1:J1"/>
    <mergeCell ref="A2:J2"/>
  </mergeCells>
  <conditionalFormatting sqref="H5:H20">
    <cfRule type="expression" priority="1" dxfId="0">
      <formula>H5="P1"</formula>
    </cfRule>
    <cfRule type="expression" priority="2" dxfId="1">
      <formula>H5="P2"</formula>
    </cfRule>
    <cfRule type="expression" priority="3" dxfId="2">
      <formula>H5="P3"</formula>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5" customWidth="1" min="1" max="1"/>
    <col width="36" customWidth="1" min="2" max="2"/>
    <col width="47" customWidth="1" min="3" max="3"/>
    <col width="50" customWidth="1" min="4" max="4"/>
    <col width="30" customWidth="1" min="5" max="5"/>
    <col width="24" customWidth="1" min="6" max="6"/>
    <col width="14" customWidth="1" min="7" max="7"/>
    <col width="28" customWidth="1" min="8" max="8"/>
    <col width="38" customWidth="1" min="9" max="9"/>
  </cols>
  <sheetData>
    <row r="1" ht="30" customHeight="1">
      <c r="A1" s="23" t="inlineStr">
        <is>
          <t>Scope Corrections and Product Decisions</t>
        </is>
      </c>
      <c r="B1" s="1" t="n"/>
      <c r="C1" s="1" t="n"/>
      <c r="D1" s="1" t="n"/>
      <c r="E1" s="1" t="n"/>
      <c r="F1" s="1" t="n"/>
      <c r="G1" s="1" t="n"/>
      <c r="H1" s="1" t="n"/>
      <c r="I1" s="1" t="n"/>
    </row>
    <row r="2" ht="28" customHeight="1">
      <c r="A2" s="31" t="inlineStr">
        <is>
          <t>These decisions prevent a generic QA checklist from becoming a false bug list. The current Comfy control is a workflow picker, take CRUD needs a domain model, and platform/theme/mobile expectations must be explicitly approved.</t>
        </is>
      </c>
      <c r="B2" s="1" t="n"/>
      <c r="C2" s="1" t="n"/>
      <c r="D2" s="1" t="n"/>
      <c r="E2" s="1" t="n"/>
      <c r="F2" s="1" t="n"/>
      <c r="G2" s="1" t="n"/>
      <c r="H2" s="1" t="n"/>
      <c r="I2" s="1" t="n"/>
    </row>
    <row r="4" ht="34" customHeight="1">
      <c r="A4" s="35" t="inlineStr">
        <is>
          <t>Decision ID</t>
        </is>
      </c>
      <c r="B4" s="35" t="inlineStr">
        <is>
          <t>Question</t>
        </is>
      </c>
      <c r="C4" s="35" t="inlineStr">
        <is>
          <t>Current Evidence</t>
        </is>
      </c>
      <c r="D4" s="35" t="inlineStr">
        <is>
          <t>Recommendation</t>
        </is>
      </c>
      <c r="E4" s="35" t="inlineStr">
        <is>
          <t>Must Decide Before</t>
        </is>
      </c>
      <c r="F4" s="35" t="inlineStr">
        <is>
          <t>Owner</t>
        </is>
      </c>
      <c r="G4" s="35" t="inlineStr">
        <is>
          <t>Status</t>
        </is>
      </c>
      <c r="H4" s="35" t="inlineStr">
        <is>
          <t>Linked Tasks</t>
        </is>
      </c>
      <c r="I4" s="35" t="inlineStr">
        <is>
          <t>Notes</t>
        </is>
      </c>
    </row>
    <row r="5" ht="82" customHeight="1">
      <c r="A5" s="42" t="inlineStr">
        <is>
          <t>SCOPE-001</t>
        </is>
      </c>
      <c r="B5" s="42" t="inlineStr">
        <is>
          <t>Which OS/browser combinations are release-supported?</t>
        </is>
      </c>
      <c r="C5" s="42" t="inlineStr">
        <is>
          <t>Local Windows scripts, loopback services, ComfyUI integration, desktop-width UI, and Chromium-specific folder APIs.</t>
        </is>
      </c>
      <c r="D5" s="42" t="inlineStr">
        <is>
          <t>Current release: Windows 11 plus supported Chromium/Edge versions. Add Firefox only after folder/iframe tests pass. Treat macOS/Linux/Safari/mobile as separate expansion epics.</t>
        </is>
      </c>
      <c r="E5" s="42" t="inlineStr">
        <is>
          <t>Final release matrix and CI/browser UAT</t>
        </is>
      </c>
      <c r="F5" s="42" t="inlineStr">
        <is>
          <t>Product + QA + DevOps</t>
        </is>
      </c>
      <c r="G5" s="42" t="inlineStr">
        <is>
          <t>Decided — Windows 11 + Chromium/Edge. See docs/adr/0001-uiux-release-scope.md</t>
        </is>
      </c>
      <c r="H5" s="42" t="inlineStr">
        <is>
          <t>QA-002,A11Y-005,IMP-007</t>
        </is>
      </c>
      <c r="I5" s="42" t="inlineStr">
        <is>
          <t>Do not make an impossible universal-browser release gate for a workstation-local product.</t>
        </is>
      </c>
    </row>
    <row r="6" ht="82" customHeight="1">
      <c r="A6" s="42" t="inlineStr">
        <is>
          <t>SCOPE-002</t>
        </is>
      </c>
      <c r="B6" s="42" t="inlineStr">
        <is>
          <t>Is light mode required for this release?</t>
        </is>
      </c>
      <c r="C6" s="42" t="inlineStr">
        <is>
          <t>The application declares a dark color scheme; the audit found contrast/forced-color needs, not an existing light-theme implementation.</t>
        </is>
      </c>
      <c r="D6" s="42" t="inlineStr">
        <is>
          <t>Require dark-theme WCAG and Windows forced-colors now. Schedule light theme separately unless it is an explicit product commitment.</t>
        </is>
      </c>
      <c r="E6" s="42" t="inlineStr">
        <is>
          <t>Visual QA sign-off</t>
        </is>
      </c>
      <c r="F6" s="42" t="inlineStr">
        <is>
          <t>Product + UX</t>
        </is>
      </c>
      <c r="G6" s="42" t="inlineStr">
        <is>
          <t>Decided — dark-only this release; forced-colors still required</t>
        </is>
      </c>
      <c r="H6" s="42" t="inlineStr">
        <is>
          <t>A11Y-007,A11Y-013</t>
        </is>
      </c>
      <c r="I6" s="42" t="inlineStr">
        <is>
          <t>High contrast is an accessibility requirement; light mode is a product/theme decision.</t>
        </is>
      </c>
    </row>
    <row r="7" ht="82" customHeight="1">
      <c r="A7" s="42" t="inlineStr">
        <is>
          <t>SCOPE-003</t>
        </is>
      </c>
      <c r="B7" s="42" t="inlineStr">
        <is>
          <t>Is the Comfy control a workflow picker or an asset gallery?</t>
        </is>
      </c>
      <c r="C7" s="42" t="inlineStr">
        <is>
          <t>`17234f7` implements a workflow selector that loads graphs into an embedded Comfy canvas. The supplied generic plan assumes thumbnail asset browsing.</t>
        </is>
      </c>
      <c r="D7" s="42" t="inlineStr">
        <is>
          <t>Name current feature Workflow Picker and optimize it as searchable grouped workflow selection. Create a separate Asset Picker/Gallery epic only if needed.</t>
        </is>
      </c>
      <c r="E7" s="42" t="inlineStr">
        <is>
          <t>Comfy UX redesign</t>
        </is>
      </c>
      <c r="F7" s="42" t="inlineStr">
        <is>
          <t>Product + Comfy Integration</t>
        </is>
      </c>
      <c r="G7" s="42" t="inlineStr">
        <is>
          <t>Decided — current feature is Workflow Picker, not a gallery</t>
        </is>
      </c>
      <c r="H7" s="42" t="inlineStr">
        <is>
          <t>COMFY-007,COMFY-022,UX-DECLUTTER-003</t>
        </is>
      </c>
      <c r="I7" s="42" t="inlineStr">
        <is>
          <t>Gallery-only requirements are not current defects.</t>
        </is>
      </c>
    </row>
    <row r="8" ht="82" customHeight="1">
      <c r="A8" s="42" t="inlineStr">
        <is>
          <t>SCOPE-004</t>
        </is>
      </c>
      <c r="B8" s="42" t="inlineStr">
        <is>
          <t>What is the domain model for a Take?</t>
        </is>
      </c>
      <c r="C8" s="42" t="inlineStr">
        <is>
          <t>Current UI consumes generated/imported media with active/latest/storyboard context; the new plan assumes full take CRUD and metadata.</t>
        </is>
      </c>
      <c r="D8" s="42" t="inlineStr">
        <is>
          <t>Define stable take ID, file/version ownership, active/latest semantics, deletion, timeline references, metadata, and revision rules before adding CRUD.</t>
        </is>
      </c>
      <c r="E8" s="42" t="inlineStr">
        <is>
          <t>Take management implementation</t>
        </is>
      </c>
      <c r="F8" s="42" t="inlineStr">
        <is>
          <t>Product + Architecture</t>
        </is>
      </c>
      <c r="G8" s="42" t="inlineStr">
        <is>
          <t>Decided — takes are media records; CRUD deferred</t>
        </is>
      </c>
      <c r="H8" s="42" t="inlineStr">
        <is>
          <t>TAKE-007,TAKE-009,TAKE-010,TAKE-011</t>
        </is>
      </c>
      <c r="I8" s="42" t="inlineStr">
        <is>
          <t>Do not bolt CRUD onto media files without a data contract.</t>
        </is>
      </c>
    </row>
    <row r="9" ht="82" customHeight="1">
      <c r="A9" s="42" t="inlineStr">
        <is>
          <t>SCOPE-005</t>
        </is>
      </c>
      <c r="B9" s="42" t="inlineStr">
        <is>
          <t>What drag visuals are controllable for folders dragged from Explorer/Finder?</t>
        </is>
      </c>
      <c r="C9" s="42" t="inlineStr">
        <is>
          <t>External drag imagery and some cursor feedback are OS/browser controlled; the app owns drop-target state and results.</t>
        </is>
      </c>
      <c r="D9" s="42" t="inlineStr">
        <is>
          <t>Specify controllable in-app hover, valid/invalid, destination, preflight, progress, and results. Custom drag ghosts apply only to drags started inside the app.</t>
        </is>
      </c>
      <c r="E9" s="42" t="inlineStr">
        <is>
          <t>Folder-drop visual acceptance</t>
        </is>
      </c>
      <c r="F9" s="42" t="inlineStr">
        <is>
          <t>Product + Frontend</t>
        </is>
      </c>
      <c r="G9" s="42" t="inlineStr">
        <is>
          <t>Decided — OS owns external drag ghosts</t>
        </is>
      </c>
      <c r="H9" s="42" t="inlineStr">
        <is>
          <t>IMP-019,SCOPE-005</t>
        </is>
      </c>
      <c r="I9" s="42" t="inlineStr">
        <is>
          <t>Prevents false QA failures against platform-controlled ghost imagery.</t>
        </is>
      </c>
    </row>
    <row r="10" ht="82" customHeight="1">
      <c r="A10" s="42" t="inlineStr">
        <is>
          <t>SCOPE-006</t>
        </is>
      </c>
      <c r="B10" s="42" t="inlineStr">
        <is>
          <t>How is the BlokeyUI boundary handled without reviewing its local implementation?</t>
        </is>
      </c>
      <c r="C10" s="42" t="inlineStr">
        <is>
          <t>BlokeyUI is out of implementation scope, but Premiere316 scans a workflow directory inside it that is ignored from source control.</t>
        </is>
      </c>
      <c r="D10" s="42" t="inlineStr">
        <is>
          <t>Keep BlokeyUI internals out of scope while requiring a tracked manifest/package or deterministic import/setup contract at the Premiere316 boundary.</t>
        </is>
      </c>
      <c r="E10" s="42" t="inlineStr">
        <is>
          <t>Clean-clone release gate</t>
        </is>
      </c>
      <c r="F10" s="42" t="inlineStr">
        <is>
          <t>Architecture + Release</t>
        </is>
      </c>
      <c r="G10" s="42" t="inlineStr">
        <is>
          <t>Decided — BlokeyUI internals out of scope; packaged workflows required</t>
        </is>
      </c>
      <c r="H10" s="42" t="inlineStr">
        <is>
          <t>COMFY-003,SCOPE-006</t>
        </is>
      </c>
      <c r="I10" s="42" t="inlineStr">
        <is>
          <t>Dependency reproducibility remains in scope even when implementation internals do not.</t>
        </is>
      </c>
    </row>
    <row r="11" ht="82" customHeight="1">
      <c r="A11" s="42" t="inlineStr">
        <is>
          <t>SCOPE-007</t>
        </is>
      </c>
      <c r="B11" s="42" t="inlineStr">
        <is>
          <t>What is the supported timebase policy for variable-frame-rate sources?</t>
        </is>
      </c>
      <c r="C11" s="42" t="inlineStr">
        <is>
          <t>The editor exposes a constant project FPS and frame-based controls while browser media can contain VFR sources.</t>
        </is>
      </c>
      <c r="D11" s="42" t="inlineStr">
        <is>
          <t>Normalize/proxy VFR imports to the project timebase for frame-critical editing, or clearly label preview precision limitations.</t>
        </is>
      </c>
      <c r="E11" s="42" t="inlineStr">
        <is>
          <t>Frame-accuracy acceptance</t>
        </is>
      </c>
      <c r="F11" s="42" t="inlineStr">
        <is>
          <t>Product + Media Engine</t>
        </is>
      </c>
      <c r="G11" s="42" t="inlineStr">
        <is>
          <t>Open</t>
        </is>
      </c>
      <c r="H11" s="42" t="inlineStr">
        <is>
          <t>SEQ-PLAY-008,SEQ-PLAY-016</t>
        </is>
      </c>
      <c r="I11" s="42" t="inlineStr">
        <is>
          <t>Required to make frame numbers and export behavior trustworthy.</t>
        </is>
      </c>
    </row>
    <row r="12" ht="82" customHeight="1">
      <c r="A12" s="42" t="inlineStr">
        <is>
          <t>SCOPE-008</t>
        </is>
      </c>
      <c r="B12" s="42" t="inlineStr">
        <is>
          <t>Are tablet/touch bottom sheets a current target or a future adaptation?</t>
        </is>
      </c>
      <c r="C12" s="42" t="inlineStr">
        <is>
          <t>The app is desktop-local and minimum-width constrained, while the decluttering proposal uses mobile bottom-sheet patterns.</t>
        </is>
      </c>
      <c r="D12" s="42" t="inlineStr">
        <is>
          <t>Use desktop drawers/overlays for the current workstation target; implement bottom sheets only if tablet/touch support is approved.</t>
        </is>
      </c>
      <c r="E12" s="42" t="inlineStr">
        <is>
          <t>Shared container component API</t>
        </is>
      </c>
      <c r="F12" s="42" t="inlineStr">
        <is>
          <t>Product + UX</t>
        </is>
      </c>
      <c r="G12" s="42" t="inlineStr">
        <is>
          <t>Open</t>
        </is>
      </c>
      <c r="H12" s="42" t="inlineStr">
        <is>
          <t>UX-CONTAINER-003,SCOPE-001</t>
        </is>
      </c>
      <c r="I12" s="42" t="inlineStr">
        <is>
          <t>Do not over-engineer mobile patterns before the platform decision.</t>
        </is>
      </c>
    </row>
  </sheetData>
  <mergeCells count="2">
    <mergeCell ref="A1:I1"/>
    <mergeCell ref="A2:I2"/>
  </mergeCells>
  <conditionalFormatting sqref="G5:G12">
    <cfRule type="expression" priority="1" dxfId="1">
      <formula>G5="Open"</formula>
    </cfRule>
    <cfRule type="expression" priority="2" dxfId="11">
      <formula>G5="Decided"</formula>
    </cfRule>
  </conditionalFormatting>
  <dataValidations count="1">
    <dataValidation sqref="G5:G12" showDropDown="0" showInputMessage="0" showErrorMessage="0" allowBlank="0" type="list">
      <formula1>"Open,Decided,Deferred,Not Applicable"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cols>
    <col width="26" customWidth="1" min="1" max="1"/>
    <col width="12" customWidth="1" min="2" max="2"/>
    <col width="34" customWidth="1" min="3" max="3"/>
    <col width="48" customWidth="1" min="4" max="4"/>
    <col width="13" customWidth="1" min="5" max="5"/>
    <col width="11" customWidth="1" min="6" max="6"/>
    <col width="40" customWidth="1" min="7" max="7"/>
    <col width="36" customWidth="1" min="8" max="8"/>
    <col width="20" customWidth="1" min="9" max="9"/>
    <col width="19" customWidth="1" min="10" max="10"/>
    <col width="15" customWidth="1" min="11" max="11"/>
    <col width="32" customWidth="1" min="12" max="12"/>
  </cols>
  <sheetData>
    <row r="1" ht="30" customHeight="1">
      <c r="A1" s="23" t="inlineStr">
        <is>
          <t>Nielsen Heuristic Review Scorecard</t>
        </is>
      </c>
      <c r="B1" s="1" t="n"/>
      <c r="C1" s="1" t="n"/>
      <c r="D1" s="1" t="n"/>
      <c r="E1" s="1" t="n"/>
      <c r="F1" s="1" t="n"/>
      <c r="G1" s="1" t="n"/>
      <c r="H1" s="1" t="n"/>
      <c r="I1" s="1" t="n"/>
      <c r="J1" s="1" t="n"/>
      <c r="K1" s="1" t="n"/>
      <c r="L1" s="1" t="n"/>
    </row>
    <row r="2" ht="28" customHeight="1">
      <c r="A2" s="31" t="inlineStr">
        <is>
          <t>Score each feature from 0 (unusable/violated) to 4 (excellent). Add evidence, reviewer, and remediation links. The linked task IDs are pre-populated from the reconciled audit.</t>
        </is>
      </c>
      <c r="B2" s="1" t="n"/>
      <c r="C2" s="1" t="n"/>
      <c r="D2" s="1" t="n"/>
      <c r="E2" s="1" t="n"/>
      <c r="F2" s="1" t="n"/>
      <c r="G2" s="1" t="n"/>
      <c r="H2" s="1" t="n"/>
      <c r="I2" s="1" t="n"/>
      <c r="J2" s="1" t="n"/>
      <c r="K2" s="1" t="n"/>
      <c r="L2" s="1" t="n"/>
    </row>
    <row r="4" ht="34" customHeight="1">
      <c r="A4" s="35" t="inlineStr">
        <is>
          <t>Feature</t>
        </is>
      </c>
      <c r="B4" s="35" t="inlineStr">
        <is>
          <t>Heuristic ID</t>
        </is>
      </c>
      <c r="C4" s="35" t="inlineStr">
        <is>
          <t>Heuristic</t>
        </is>
      </c>
      <c r="D4" s="35" t="inlineStr">
        <is>
          <t>Definition</t>
        </is>
      </c>
      <c r="E4" s="35" t="inlineStr">
        <is>
          <t>Initial Risk</t>
        </is>
      </c>
      <c r="F4" s="35" t="inlineStr">
        <is>
          <t>Score 0–4</t>
        </is>
      </c>
      <c r="G4" s="35" t="inlineStr">
        <is>
          <t>Evidence</t>
        </is>
      </c>
      <c r="H4" s="35" t="inlineStr">
        <is>
          <t>Linked Task IDs</t>
        </is>
      </c>
      <c r="I4" s="35" t="inlineStr">
        <is>
          <t>Reviewer</t>
        </is>
      </c>
      <c r="J4" s="35" t="inlineStr">
        <is>
          <t>Status</t>
        </is>
      </c>
      <c r="K4" s="35" t="inlineStr">
        <is>
          <t>Re-review Date</t>
        </is>
      </c>
      <c r="L4" s="35" t="inlineStr">
        <is>
          <t>Notes</t>
        </is>
      </c>
    </row>
    <row r="5" ht="60" customHeight="1">
      <c r="A5" s="42" t="inlineStr">
        <is>
          <t>Sequence Play / Takes</t>
        </is>
      </c>
      <c r="B5" s="42" t="inlineStr">
        <is>
          <t>H1</t>
        </is>
      </c>
      <c r="C5" s="42" t="inlineStr">
        <is>
          <t>Visibility of system status</t>
        </is>
      </c>
      <c r="D5" s="42" t="inlineStr">
        <is>
          <t>Keep users informed about what is happening with timely, truthful feedback.</t>
        </is>
      </c>
      <c r="E5" s="42" t="inlineStr">
        <is>
          <t>High</t>
        </is>
      </c>
      <c r="F5" s="42" t="n"/>
      <c r="G5" s="42" t="str"/>
      <c r="H5" s="42" t="inlineStr">
        <is>
          <t>SEQ-PLAY-001,SEQ-PLAY-003,SEQ-PLAY-009,TAKE-001</t>
        </is>
      </c>
      <c r="I5" s="42" t="str"/>
      <c r="J5" s="42" t="inlineStr">
        <is>
          <t>Not Reviewed</t>
        </is>
      </c>
      <c r="K5" s="110" t="n"/>
      <c r="L5" s="42" t="str"/>
    </row>
    <row r="6" ht="60" customHeight="1">
      <c r="A6" s="42" t="inlineStr">
        <is>
          <t>Sequence Play / Takes</t>
        </is>
      </c>
      <c r="B6" s="42" t="inlineStr">
        <is>
          <t>H2</t>
        </is>
      </c>
      <c r="C6" s="42" t="inlineStr">
        <is>
          <t>Match between system and the real world</t>
        </is>
      </c>
      <c r="D6" s="42" t="inlineStr">
        <is>
          <t>Use concepts, labels, and sequencing familiar to editors and media users.</t>
        </is>
      </c>
      <c r="E6" s="42" t="inlineStr">
        <is>
          <t>Medium</t>
        </is>
      </c>
      <c r="F6" s="42" t="n"/>
      <c r="G6" s="42" t="str"/>
      <c r="H6" s="42" t="inlineStr">
        <is>
          <t>SEQ-PLAY-009,TAKE-002,SEQ-PLAY-013</t>
        </is>
      </c>
      <c r="I6" s="42" t="str"/>
      <c r="J6" s="42" t="inlineStr">
        <is>
          <t>Not Reviewed</t>
        </is>
      </c>
      <c r="K6" s="110" t="n"/>
      <c r="L6" s="42" t="str"/>
    </row>
    <row r="7" ht="60" customHeight="1">
      <c r="A7" s="42" t="inlineStr">
        <is>
          <t>Sequence Play / Takes</t>
        </is>
      </c>
      <c r="B7" s="42" t="inlineStr">
        <is>
          <t>H3</t>
        </is>
      </c>
      <c r="C7" s="42" t="inlineStr">
        <is>
          <t>User control and freedom</t>
        </is>
      </c>
      <c r="D7" s="42" t="inlineStr">
        <is>
          <t>Provide cancel, undo, escape, and safe recovery from accidental actions.</t>
        </is>
      </c>
      <c r="E7" s="42" t="inlineStr">
        <is>
          <t>High</t>
        </is>
      </c>
      <c r="F7" s="42" t="n"/>
      <c r="G7" s="42" t="str"/>
      <c r="H7" s="42" t="inlineStr">
        <is>
          <t>TAKE-009,SEQ-MARK-001,UX-DECLUTTER-001</t>
        </is>
      </c>
      <c r="I7" s="42" t="str"/>
      <c r="J7" s="42" t="inlineStr">
        <is>
          <t>Not Reviewed</t>
        </is>
      </c>
      <c r="K7" s="110" t="n"/>
      <c r="L7" s="42" t="str"/>
    </row>
    <row r="8" ht="60" customHeight="1">
      <c r="A8" s="42" t="inlineStr">
        <is>
          <t>Sequence Play / Takes</t>
        </is>
      </c>
      <c r="B8" s="42" t="inlineStr">
        <is>
          <t>H4</t>
        </is>
      </c>
      <c r="C8" s="42" t="inlineStr">
        <is>
          <t>Consistency and standards</t>
        </is>
      </c>
      <c r="D8" s="42" t="inlineStr">
        <is>
          <t>Use consistent interaction patterns, terminology, controls, and platform conventions.</t>
        </is>
      </c>
      <c r="E8" s="42" t="inlineStr">
        <is>
          <t>Medium</t>
        </is>
      </c>
      <c r="F8" s="42" t="n"/>
      <c r="G8" s="42" t="str"/>
      <c r="H8" s="42" t="inlineStr">
        <is>
          <t>A11Y-001,SEQ-PLAY-013,UX-CONTAINER-001</t>
        </is>
      </c>
      <c r="I8" s="42" t="str"/>
      <c r="J8" s="42" t="inlineStr">
        <is>
          <t>Not Reviewed</t>
        </is>
      </c>
      <c r="K8" s="110" t="n"/>
      <c r="L8" s="42" t="str"/>
    </row>
    <row r="9" ht="60" customHeight="1">
      <c r="A9" s="42" t="inlineStr">
        <is>
          <t>Sequence Play / Takes</t>
        </is>
      </c>
      <c r="B9" s="42" t="inlineStr">
        <is>
          <t>H5</t>
        </is>
      </c>
      <c r="C9" s="42" t="inlineStr">
        <is>
          <t>Error prevention</t>
        </is>
      </c>
      <c r="D9" s="42" t="inlineStr">
        <is>
          <t>Prevent invalid, destructive, ambiguous, and unreproducible operations before they occur.</t>
        </is>
      </c>
      <c r="E9" s="42" t="inlineStr">
        <is>
          <t>High</t>
        </is>
      </c>
      <c r="F9" s="42" t="n"/>
      <c r="G9" s="42" t="str"/>
      <c r="H9" s="42" t="inlineStr">
        <is>
          <t>SEQ-AUD-001,TAKE-009,SEQ-STATE-001</t>
        </is>
      </c>
      <c r="I9" s="42" t="str"/>
      <c r="J9" s="42" t="inlineStr">
        <is>
          <t>Not Reviewed</t>
        </is>
      </c>
      <c r="K9" s="110" t="n"/>
      <c r="L9" s="42" t="str"/>
    </row>
    <row r="10" ht="60" customHeight="1">
      <c r="A10" s="42" t="inlineStr">
        <is>
          <t>Sequence Play / Takes</t>
        </is>
      </c>
      <c r="B10" s="42" t="inlineStr">
        <is>
          <t>H6</t>
        </is>
      </c>
      <c r="C10" s="42" t="inlineStr">
        <is>
          <t>Recognition rather than recall</t>
        </is>
      </c>
      <c r="D10" s="42" t="inlineStr">
        <is>
          <t>Make current state, options, provenance, and active constraints visible.</t>
        </is>
      </c>
      <c r="E10" s="42" t="inlineStr">
        <is>
          <t>Medium</t>
        </is>
      </c>
      <c r="F10" s="42" t="n"/>
      <c r="G10" s="42" t="str"/>
      <c r="H10" s="42" t="inlineStr">
        <is>
          <t>SEQ-BIN-001,TAKE-005,SEQ-PLAY-016</t>
        </is>
      </c>
      <c r="I10" s="42" t="str"/>
      <c r="J10" s="42" t="inlineStr">
        <is>
          <t>Not Reviewed</t>
        </is>
      </c>
      <c r="K10" s="110" t="n"/>
      <c r="L10" s="42" t="str"/>
    </row>
    <row r="11" ht="60" customHeight="1">
      <c r="A11" s="42" t="inlineStr">
        <is>
          <t>Sequence Play / Takes</t>
        </is>
      </c>
      <c r="B11" s="42" t="inlineStr">
        <is>
          <t>H7</t>
        </is>
      </c>
      <c r="C11" s="42" t="inlineStr">
        <is>
          <t>Flexibility and efficiency of use</t>
        </is>
      </c>
      <c r="D11" s="42" t="inlineStr">
        <is>
          <t>Support novice clarity and expert shortcuts without permanent clutter.</t>
        </is>
      </c>
      <c r="E11" s="42" t="inlineStr">
        <is>
          <t>Medium</t>
        </is>
      </c>
      <c r="F11" s="42" t="n"/>
      <c r="G11" s="42" t="str"/>
      <c r="H11" s="42" t="inlineStr">
        <is>
          <t>TAKE-003,SEQ-PLAY-012,SEQ-PLAY-014</t>
        </is>
      </c>
      <c r="I11" s="42" t="str"/>
      <c r="J11" s="42" t="inlineStr">
        <is>
          <t>Not Reviewed</t>
        </is>
      </c>
      <c r="K11" s="110" t="n"/>
      <c r="L11" s="42" t="str"/>
    </row>
    <row r="12" ht="60" customHeight="1">
      <c r="A12" s="42" t="inlineStr">
        <is>
          <t>Sequence Play / Takes</t>
        </is>
      </c>
      <c r="B12" s="42" t="inlineStr">
        <is>
          <t>H8</t>
        </is>
      </c>
      <c r="C12" s="42" t="inlineStr">
        <is>
          <t>Aesthetic and minimalist design</t>
        </is>
      </c>
      <c r="D12" s="42" t="inlineStr">
        <is>
          <t>Keep primary surfaces quiet and progressively disclose secondary information.</t>
        </is>
      </c>
      <c r="E12" s="42" t="inlineStr">
        <is>
          <t>Medium</t>
        </is>
      </c>
      <c r="F12" s="42" t="n"/>
      <c r="G12" s="42" t="str"/>
      <c r="H12" s="42" t="inlineStr">
        <is>
          <t>UX-DECLUTTER-001,A11Y-004</t>
        </is>
      </c>
      <c r="I12" s="42" t="str"/>
      <c r="J12" s="42" t="inlineStr">
        <is>
          <t>Not Reviewed</t>
        </is>
      </c>
      <c r="K12" s="110" t="n"/>
      <c r="L12" s="42" t="str"/>
    </row>
    <row r="13" ht="60" customHeight="1">
      <c r="A13" s="42" t="inlineStr">
        <is>
          <t>Sequence Play / Takes</t>
        </is>
      </c>
      <c r="B13" s="42" t="inlineStr">
        <is>
          <t>H9</t>
        </is>
      </c>
      <c r="C13" s="42" t="inlineStr">
        <is>
          <t>Help users recognize, diagnose, and recover from errors</t>
        </is>
      </c>
      <c r="D13" s="42" t="inlineStr">
        <is>
          <t>Name the affected object, reason, impact, and recovery action.</t>
        </is>
      </c>
      <c r="E13" s="42" t="inlineStr">
        <is>
          <t>High</t>
        </is>
      </c>
      <c r="F13" s="42" t="n"/>
      <c r="G13" s="42" t="str"/>
      <c r="H13" s="42" t="inlineStr">
        <is>
          <t>SEQ-PLAY-003,SEQ-PLAY-004,SEQ-PROBE-002</t>
        </is>
      </c>
      <c r="I13" s="42" t="str"/>
      <c r="J13" s="42" t="inlineStr">
        <is>
          <t>Not Reviewed</t>
        </is>
      </c>
      <c r="K13" s="110" t="n"/>
      <c r="L13" s="42" t="str"/>
    </row>
    <row r="14" ht="60" customHeight="1">
      <c r="A14" s="42" t="inlineStr">
        <is>
          <t>Sequence Play / Takes</t>
        </is>
      </c>
      <c r="B14" s="42" t="inlineStr">
        <is>
          <t>H10</t>
        </is>
      </c>
      <c r="C14" s="42" t="inlineStr">
        <is>
          <t>Help and documentation</t>
        </is>
      </c>
      <c r="D14" s="42" t="inlineStr">
        <is>
          <t>Provide contextual, replayable guidance and accurate support/setup documentation.</t>
        </is>
      </c>
      <c r="E14" s="42" t="inlineStr">
        <is>
          <t>Medium</t>
        </is>
      </c>
      <c r="F14" s="42" t="n"/>
      <c r="G14" s="42" t="str"/>
      <c r="H14" s="42" t="inlineStr">
        <is>
          <t>UX-CONTAINER-002,SCOPE-004</t>
        </is>
      </c>
      <c r="I14" s="42" t="str"/>
      <c r="J14" s="42" t="inlineStr">
        <is>
          <t>Not Reviewed</t>
        </is>
      </c>
      <c r="K14" s="110" t="n"/>
      <c r="L14" s="42" t="str"/>
    </row>
    <row r="15" ht="60" customHeight="1">
      <c r="A15" s="42" t="inlineStr">
        <is>
          <t>Folder Drop</t>
        </is>
      </c>
      <c r="B15" s="42" t="inlineStr">
        <is>
          <t>H1</t>
        </is>
      </c>
      <c r="C15" s="42" t="inlineStr">
        <is>
          <t>Visibility of system status</t>
        </is>
      </c>
      <c r="D15" s="42" t="inlineStr">
        <is>
          <t>Keep users informed about what is happening with timely, truthful feedback.</t>
        </is>
      </c>
      <c r="E15" s="42" t="inlineStr">
        <is>
          <t>High</t>
        </is>
      </c>
      <c r="F15" s="42" t="n"/>
      <c r="G15" s="42" t="str"/>
      <c r="H15" s="42" t="inlineStr">
        <is>
          <t>IMP-001,IMP-004,IMP-005,IMP-019</t>
        </is>
      </c>
      <c r="I15" s="42" t="str"/>
      <c r="J15" s="42" t="inlineStr">
        <is>
          <t>Not Reviewed</t>
        </is>
      </c>
      <c r="K15" s="110" t="n"/>
      <c r="L15" s="42" t="str"/>
    </row>
    <row r="16" ht="60" customHeight="1">
      <c r="A16" s="42" t="inlineStr">
        <is>
          <t>Folder Drop</t>
        </is>
      </c>
      <c r="B16" s="42" t="inlineStr">
        <is>
          <t>H2</t>
        </is>
      </c>
      <c r="C16" s="42" t="inlineStr">
        <is>
          <t>Match between system and the real world</t>
        </is>
      </c>
      <c r="D16" s="42" t="inlineStr">
        <is>
          <t>Use concepts, labels, and sequencing familiar to editors and media users.</t>
        </is>
      </c>
      <c r="E16" s="42" t="inlineStr">
        <is>
          <t>Medium</t>
        </is>
      </c>
      <c r="F16" s="42" t="n"/>
      <c r="G16" s="42" t="str"/>
      <c r="H16" s="42" t="inlineStr">
        <is>
          <t>IMP-008,IMP-009,SCOPE-005</t>
        </is>
      </c>
      <c r="I16" s="42" t="str"/>
      <c r="J16" s="42" t="inlineStr">
        <is>
          <t>Not Reviewed</t>
        </is>
      </c>
      <c r="K16" s="110" t="n"/>
      <c r="L16" s="42" t="str"/>
    </row>
    <row r="17" ht="60" customHeight="1">
      <c r="A17" s="42" t="inlineStr">
        <is>
          <t>Folder Drop</t>
        </is>
      </c>
      <c r="B17" s="42" t="inlineStr">
        <is>
          <t>H3</t>
        </is>
      </c>
      <c r="C17" s="42" t="inlineStr">
        <is>
          <t>User control and freedom</t>
        </is>
      </c>
      <c r="D17" s="42" t="inlineStr">
        <is>
          <t>Provide cancel, undo, escape, and safe recovery from accidental actions.</t>
        </is>
      </c>
      <c r="E17" s="42" t="inlineStr">
        <is>
          <t>High</t>
        </is>
      </c>
      <c r="F17" s="42" t="n"/>
      <c r="G17" s="42" t="str"/>
      <c r="H17" s="42" t="inlineStr">
        <is>
          <t>IMP-005,IMP-016,IMP-022,IMP-025</t>
        </is>
      </c>
      <c r="I17" s="42" t="str"/>
      <c r="J17" s="42" t="inlineStr">
        <is>
          <t>Not Reviewed</t>
        </is>
      </c>
      <c r="K17" s="110" t="n"/>
      <c r="L17" s="42" t="str"/>
    </row>
    <row r="18" ht="60" customHeight="1">
      <c r="A18" s="42" t="inlineStr">
        <is>
          <t>Folder Drop</t>
        </is>
      </c>
      <c r="B18" s="42" t="inlineStr">
        <is>
          <t>H4</t>
        </is>
      </c>
      <c r="C18" s="42" t="inlineStr">
        <is>
          <t>Consistency and standards</t>
        </is>
      </c>
      <c r="D18" s="42" t="inlineStr">
        <is>
          <t>Use consistent interaction patterns, terminology, controls, and platform conventions.</t>
        </is>
      </c>
      <c r="E18" s="42" t="inlineStr">
        <is>
          <t>Medium</t>
        </is>
      </c>
      <c r="F18" s="42" t="n"/>
      <c r="G18" s="42" t="str"/>
      <c r="H18" s="42" t="inlineStr">
        <is>
          <t>IMP-002,IMP-007,UX-CONTAINER-001</t>
        </is>
      </c>
      <c r="I18" s="42" t="str"/>
      <c r="J18" s="42" t="inlineStr">
        <is>
          <t>Not Reviewed</t>
        </is>
      </c>
      <c r="K18" s="110" t="n"/>
      <c r="L18" s="42" t="str"/>
    </row>
    <row r="19" ht="60" customHeight="1">
      <c r="A19" s="42" t="inlineStr">
        <is>
          <t>Folder Drop</t>
        </is>
      </c>
      <c r="B19" s="42" t="inlineStr">
        <is>
          <t>H5</t>
        </is>
      </c>
      <c r="C19" s="42" t="inlineStr">
        <is>
          <t>Error prevention</t>
        </is>
      </c>
      <c r="D19" s="42" t="inlineStr">
        <is>
          <t>Prevent invalid, destructive, ambiguous, and unreproducible operations before they occur.</t>
        </is>
      </c>
      <c r="E19" s="42" t="inlineStr">
        <is>
          <t>High</t>
        </is>
      </c>
      <c r="F19" s="42" t="n"/>
      <c r="G19" s="42" t="str"/>
      <c r="H19" s="42" t="inlineStr">
        <is>
          <t>IMP-002,IMP-020,IMP-021,IMP-024</t>
        </is>
      </c>
      <c r="I19" s="42" t="str"/>
      <c r="J19" s="42" t="inlineStr">
        <is>
          <t>Not Reviewed</t>
        </is>
      </c>
      <c r="K19" s="110" t="n"/>
      <c r="L19" s="42" t="str"/>
    </row>
    <row r="20" ht="60" customHeight="1">
      <c r="A20" s="42" t="inlineStr">
        <is>
          <t>Folder Drop</t>
        </is>
      </c>
      <c r="B20" s="42" t="inlineStr">
        <is>
          <t>H6</t>
        </is>
      </c>
      <c r="C20" s="42" t="inlineStr">
        <is>
          <t>Recognition rather than recall</t>
        </is>
      </c>
      <c r="D20" s="42" t="inlineStr">
        <is>
          <t>Make current state, options, provenance, and active constraints visible.</t>
        </is>
      </c>
      <c r="E20" s="42" t="inlineStr">
        <is>
          <t>Medium</t>
        </is>
      </c>
      <c r="F20" s="42" t="n"/>
      <c r="G20" s="42" t="str"/>
      <c r="H20" s="42" t="inlineStr">
        <is>
          <t>IMP-019,IMP-020,IMP-012</t>
        </is>
      </c>
      <c r="I20" s="42" t="str"/>
      <c r="J20" s="42" t="inlineStr">
        <is>
          <t>Not Reviewed</t>
        </is>
      </c>
      <c r="K20" s="110" t="n"/>
      <c r="L20" s="42" t="str"/>
    </row>
    <row r="21" ht="60" customHeight="1">
      <c r="A21" s="42" t="inlineStr">
        <is>
          <t>Folder Drop</t>
        </is>
      </c>
      <c r="B21" s="42" t="inlineStr">
        <is>
          <t>H7</t>
        </is>
      </c>
      <c r="C21" s="42" t="inlineStr">
        <is>
          <t>Flexibility and efficiency of use</t>
        </is>
      </c>
      <c r="D21" s="42" t="inlineStr">
        <is>
          <t>Support novice clarity and expert shortcuts without permanent clutter.</t>
        </is>
      </c>
      <c r="E21" s="42" t="inlineStr">
        <is>
          <t>Medium</t>
        </is>
      </c>
      <c r="F21" s="42" t="n"/>
      <c r="G21" s="42" t="str"/>
      <c r="H21" s="42" t="inlineStr">
        <is>
          <t>IMP-010,IMP-016,IMP-025</t>
        </is>
      </c>
      <c r="I21" s="42" t="str"/>
      <c r="J21" s="42" t="inlineStr">
        <is>
          <t>Not Reviewed</t>
        </is>
      </c>
      <c r="K21" s="110" t="n"/>
      <c r="L21" s="42" t="str"/>
    </row>
    <row r="22" ht="60" customHeight="1">
      <c r="A22" s="42" t="inlineStr">
        <is>
          <t>Folder Drop</t>
        </is>
      </c>
      <c r="B22" s="42" t="inlineStr">
        <is>
          <t>H8</t>
        </is>
      </c>
      <c r="C22" s="42" t="inlineStr">
        <is>
          <t>Aesthetic and minimalist design</t>
        </is>
      </c>
      <c r="D22" s="42" t="inlineStr">
        <is>
          <t>Keep primary surfaces quiet and progressively disclose secondary information.</t>
        </is>
      </c>
      <c r="E22" s="42" t="inlineStr">
        <is>
          <t>Medium</t>
        </is>
      </c>
      <c r="F22" s="42" t="n"/>
      <c r="G22" s="42" t="str"/>
      <c r="H22" s="42" t="inlineStr">
        <is>
          <t>UX-DECLUTTER-002</t>
        </is>
      </c>
      <c r="I22" s="42" t="str"/>
      <c r="J22" s="42" t="inlineStr">
        <is>
          <t>Not Reviewed</t>
        </is>
      </c>
      <c r="K22" s="110" t="n"/>
      <c r="L22" s="42" t="str"/>
    </row>
    <row r="23" ht="60" customHeight="1">
      <c r="A23" s="42" t="inlineStr">
        <is>
          <t>Folder Drop</t>
        </is>
      </c>
      <c r="B23" s="42" t="inlineStr">
        <is>
          <t>H9</t>
        </is>
      </c>
      <c r="C23" s="42" t="inlineStr">
        <is>
          <t>Help users recognize, diagnose, and recover from errors</t>
        </is>
      </c>
      <c r="D23" s="42" t="inlineStr">
        <is>
          <t>Name the affected object, reason, impact, and recovery action.</t>
        </is>
      </c>
      <c r="E23" s="42" t="inlineStr">
        <is>
          <t>High</t>
        </is>
      </c>
      <c r="F23" s="42" t="n"/>
      <c r="G23" s="42" t="str"/>
      <c r="H23" s="42" t="inlineStr">
        <is>
          <t>IMP-001,IMP-015,IMP-016,IMP-018</t>
        </is>
      </c>
      <c r="I23" s="42" t="str"/>
      <c r="J23" s="42" t="inlineStr">
        <is>
          <t>Not Reviewed</t>
        </is>
      </c>
      <c r="K23" s="110" t="n"/>
      <c r="L23" s="42" t="str"/>
    </row>
    <row r="24" ht="60" customHeight="1">
      <c r="A24" s="42" t="inlineStr">
        <is>
          <t>Folder Drop</t>
        </is>
      </c>
      <c r="B24" s="42" t="inlineStr">
        <is>
          <t>H10</t>
        </is>
      </c>
      <c r="C24" s="42" t="inlineStr">
        <is>
          <t>Help and documentation</t>
        </is>
      </c>
      <c r="D24" s="42" t="inlineStr">
        <is>
          <t>Provide contextual, replayable guidance and accurate support/setup documentation.</t>
        </is>
      </c>
      <c r="E24" s="42" t="inlineStr">
        <is>
          <t>Medium</t>
        </is>
      </c>
      <c r="F24" s="42" t="n"/>
      <c r="G24" s="42" t="str"/>
      <c r="H24" s="42" t="inlineStr">
        <is>
          <t>UX-CONTAINER-002,QA-002</t>
        </is>
      </c>
      <c r="I24" s="42" t="str"/>
      <c r="J24" s="42" t="inlineStr">
        <is>
          <t>Not Reviewed</t>
        </is>
      </c>
      <c r="K24" s="110" t="n"/>
      <c r="L24" s="42" t="str"/>
    </row>
    <row r="25" ht="60" customHeight="1">
      <c r="A25" s="42" t="inlineStr">
        <is>
          <t>Comfy Workflow Picker</t>
        </is>
      </c>
      <c r="B25" s="42" t="inlineStr">
        <is>
          <t>H1</t>
        </is>
      </c>
      <c r="C25" s="42" t="inlineStr">
        <is>
          <t>Visibility of system status</t>
        </is>
      </c>
      <c r="D25" s="42" t="inlineStr">
        <is>
          <t>Keep users informed about what is happening with timely, truthful feedback.</t>
        </is>
      </c>
      <c r="E25" s="42" t="inlineStr">
        <is>
          <t>High</t>
        </is>
      </c>
      <c r="F25" s="42" t="n"/>
      <c r="G25" s="42" t="str"/>
      <c r="H25" s="42" t="inlineStr">
        <is>
          <t>COMFY-001,COMFY-005,COMFY-021</t>
        </is>
      </c>
      <c r="I25" s="42" t="str"/>
      <c r="J25" s="42" t="inlineStr">
        <is>
          <t>Not Reviewed</t>
        </is>
      </c>
      <c r="K25" s="110" t="n"/>
      <c r="L25" s="42" t="str"/>
    </row>
    <row r="26" ht="60" customHeight="1">
      <c r="A26" s="42" t="inlineStr">
        <is>
          <t>Comfy Workflow Picker</t>
        </is>
      </c>
      <c r="B26" s="42" t="inlineStr">
        <is>
          <t>H2</t>
        </is>
      </c>
      <c r="C26" s="42" t="inlineStr">
        <is>
          <t>Match between system and the real world</t>
        </is>
      </c>
      <c r="D26" s="42" t="inlineStr">
        <is>
          <t>Use concepts, labels, and sequencing familiar to editors and media users.</t>
        </is>
      </c>
      <c r="E26" s="42" t="inlineStr">
        <is>
          <t>Medium</t>
        </is>
      </c>
      <c r="F26" s="42" t="n"/>
      <c r="G26" s="42" t="str"/>
      <c r="H26" s="42" t="inlineStr">
        <is>
          <t>COMFY-001,COMFY-020,SCOPE-003</t>
        </is>
      </c>
      <c r="I26" s="42" t="str"/>
      <c r="J26" s="42" t="inlineStr">
        <is>
          <t>Not Reviewed</t>
        </is>
      </c>
      <c r="K26" s="110" t="n"/>
      <c r="L26" s="42" t="str"/>
    </row>
    <row r="27" ht="60" customHeight="1">
      <c r="A27" s="42" t="inlineStr">
        <is>
          <t>Comfy Workflow Picker</t>
        </is>
      </c>
      <c r="B27" s="42" t="inlineStr">
        <is>
          <t>H3</t>
        </is>
      </c>
      <c r="C27" s="42" t="inlineStr">
        <is>
          <t>User control and freedom</t>
        </is>
      </c>
      <c r="D27" s="42" t="inlineStr">
        <is>
          <t>Provide cancel, undo, escape, and safe recovery from accidental actions.</t>
        </is>
      </c>
      <c r="E27" s="42" t="inlineStr">
        <is>
          <t>High</t>
        </is>
      </c>
      <c r="F27" s="42" t="n"/>
      <c r="G27" s="42" t="str"/>
      <c r="H27" s="42" t="inlineStr">
        <is>
          <t>COMFY-002,COMFY-014,COMFY-015</t>
        </is>
      </c>
      <c r="I27" s="42" t="str"/>
      <c r="J27" s="42" t="inlineStr">
        <is>
          <t>Not Reviewed</t>
        </is>
      </c>
      <c r="K27" s="110" t="n"/>
      <c r="L27" s="42" t="str"/>
    </row>
    <row r="28" ht="60" customHeight="1">
      <c r="A28" s="42" t="inlineStr">
        <is>
          <t>Comfy Workflow Picker</t>
        </is>
      </c>
      <c r="B28" s="42" t="inlineStr">
        <is>
          <t>H4</t>
        </is>
      </c>
      <c r="C28" s="42" t="inlineStr">
        <is>
          <t>Consistency and standards</t>
        </is>
      </c>
      <c r="D28" s="42" t="inlineStr">
        <is>
          <t>Use consistent interaction patterns, terminology, controls, and platform conventions.</t>
        </is>
      </c>
      <c r="E28" s="42" t="inlineStr">
        <is>
          <t>Medium</t>
        </is>
      </c>
      <c r="F28" s="42" t="n"/>
      <c r="G28" s="42" t="str"/>
      <c r="H28" s="42" t="inlineStr">
        <is>
          <t>COMFY-018,UX-CONTAINER-001</t>
        </is>
      </c>
      <c r="I28" s="42" t="str"/>
      <c r="J28" s="42" t="inlineStr">
        <is>
          <t>Not Reviewed</t>
        </is>
      </c>
      <c r="K28" s="110" t="n"/>
      <c r="L28" s="42" t="str"/>
    </row>
    <row r="29" ht="60" customHeight="1">
      <c r="A29" s="42" t="inlineStr">
        <is>
          <t>Comfy Workflow Picker</t>
        </is>
      </c>
      <c r="B29" s="42" t="inlineStr">
        <is>
          <t>H5</t>
        </is>
      </c>
      <c r="C29" s="42" t="inlineStr">
        <is>
          <t>Error prevention</t>
        </is>
      </c>
      <c r="D29" s="42" t="inlineStr">
        <is>
          <t>Prevent invalid, destructive, ambiguous, and unreproducible operations before they occur.</t>
        </is>
      </c>
      <c r="E29" s="42" t="inlineStr">
        <is>
          <t>High</t>
        </is>
      </c>
      <c r="F29" s="42" t="n"/>
      <c r="G29" s="42" t="str"/>
      <c r="H29" s="42" t="inlineStr">
        <is>
          <t>COMFY-002,COMFY-006,COMFY-010</t>
        </is>
      </c>
      <c r="I29" s="42" t="str"/>
      <c r="J29" s="42" t="inlineStr">
        <is>
          <t>Not Reviewed</t>
        </is>
      </c>
      <c r="K29" s="110" t="n"/>
      <c r="L29" s="42" t="str"/>
    </row>
    <row r="30" ht="60" customHeight="1">
      <c r="A30" s="42" t="inlineStr">
        <is>
          <t>Comfy Workflow Picker</t>
        </is>
      </c>
      <c r="B30" s="42" t="inlineStr">
        <is>
          <t>H6</t>
        </is>
      </c>
      <c r="C30" s="42" t="inlineStr">
        <is>
          <t>Recognition rather than recall</t>
        </is>
      </c>
      <c r="D30" s="42" t="inlineStr">
        <is>
          <t>Make current state, options, provenance, and active constraints visible.</t>
        </is>
      </c>
      <c r="E30" s="42" t="inlineStr">
        <is>
          <t>Medium</t>
        </is>
      </c>
      <c r="F30" s="42" t="n"/>
      <c r="G30" s="42" t="str"/>
      <c r="H30" s="42" t="inlineStr">
        <is>
          <t>COMFY-020,COMFY-022</t>
        </is>
      </c>
      <c r="I30" s="42" t="str"/>
      <c r="J30" s="42" t="inlineStr">
        <is>
          <t>Not Reviewed</t>
        </is>
      </c>
      <c r="K30" s="110" t="n"/>
      <c r="L30" s="42" t="str"/>
    </row>
    <row r="31" ht="60" customHeight="1">
      <c r="A31" s="42" t="inlineStr">
        <is>
          <t>Comfy Workflow Picker</t>
        </is>
      </c>
      <c r="B31" s="42" t="inlineStr">
        <is>
          <t>H7</t>
        </is>
      </c>
      <c r="C31" s="42" t="inlineStr">
        <is>
          <t>Flexibility and efficiency of use</t>
        </is>
      </c>
      <c r="D31" s="42" t="inlineStr">
        <is>
          <t>Support novice clarity and expert shortcuts without permanent clutter.</t>
        </is>
      </c>
      <c r="E31" s="42" t="inlineStr">
        <is>
          <t>Medium</t>
        </is>
      </c>
      <c r="F31" s="42" t="n"/>
      <c r="G31" s="42" t="str"/>
      <c r="H31" s="42" t="inlineStr">
        <is>
          <t>COMFY-007,COMFY-017,UX-DECLUTTER-003</t>
        </is>
      </c>
      <c r="I31" s="42" t="str"/>
      <c r="J31" s="42" t="inlineStr">
        <is>
          <t>Not Reviewed</t>
        </is>
      </c>
      <c r="K31" s="110" t="n"/>
      <c r="L31" s="42" t="str"/>
    </row>
    <row r="32" ht="60" customHeight="1">
      <c r="A32" s="42" t="inlineStr">
        <is>
          <t>Comfy Workflow Picker</t>
        </is>
      </c>
      <c r="B32" s="42" t="inlineStr">
        <is>
          <t>H8</t>
        </is>
      </c>
      <c r="C32" s="42" t="inlineStr">
        <is>
          <t>Aesthetic and minimalist design</t>
        </is>
      </c>
      <c r="D32" s="42" t="inlineStr">
        <is>
          <t>Keep primary surfaces quiet and progressively disclose secondary information.</t>
        </is>
      </c>
      <c r="E32" s="42" t="inlineStr">
        <is>
          <t>Medium</t>
        </is>
      </c>
      <c r="F32" s="42" t="n"/>
      <c r="G32" s="42" t="str"/>
      <c r="H32" s="42" t="inlineStr">
        <is>
          <t>UX-DECLUTTER-003,COMFY-022</t>
        </is>
      </c>
      <c r="I32" s="42" t="str"/>
      <c r="J32" s="42" t="inlineStr">
        <is>
          <t>Not Reviewed</t>
        </is>
      </c>
      <c r="K32" s="110" t="n"/>
      <c r="L32" s="42" t="str"/>
    </row>
    <row r="33" ht="60" customHeight="1">
      <c r="A33" s="42" t="inlineStr">
        <is>
          <t>Comfy Workflow Picker</t>
        </is>
      </c>
      <c r="B33" s="42" t="inlineStr">
        <is>
          <t>H9</t>
        </is>
      </c>
      <c r="C33" s="42" t="inlineStr">
        <is>
          <t>Help users recognize, diagnose, and recover from errors</t>
        </is>
      </c>
      <c r="D33" s="42" t="inlineStr">
        <is>
          <t>Name the affected object, reason, impact, and recovery action.</t>
        </is>
      </c>
      <c r="E33" s="42" t="inlineStr">
        <is>
          <t>High</t>
        </is>
      </c>
      <c r="F33" s="42" t="n"/>
      <c r="G33" s="42" t="str"/>
      <c r="H33" s="42" t="inlineStr">
        <is>
          <t>COMFY-004,COMFY-005,COMFY-012,COMFY-014</t>
        </is>
      </c>
      <c r="I33" s="42" t="str"/>
      <c r="J33" s="42" t="inlineStr">
        <is>
          <t>Not Reviewed</t>
        </is>
      </c>
      <c r="K33" s="110" t="n"/>
      <c r="L33" s="42" t="str"/>
    </row>
    <row r="34" ht="60" customHeight="1">
      <c r="A34" s="42" t="inlineStr">
        <is>
          <t>Comfy Workflow Picker</t>
        </is>
      </c>
      <c r="B34" s="42" t="inlineStr">
        <is>
          <t>H10</t>
        </is>
      </c>
      <c r="C34" s="42" t="inlineStr">
        <is>
          <t>Help and documentation</t>
        </is>
      </c>
      <c r="D34" s="42" t="inlineStr">
        <is>
          <t>Provide contextual, replayable guidance and accurate support/setup documentation.</t>
        </is>
      </c>
      <c r="E34" s="42" t="inlineStr">
        <is>
          <t>Medium</t>
        </is>
      </c>
      <c r="F34" s="42" t="n"/>
      <c r="G34" s="42" t="str"/>
      <c r="H34" s="42" t="inlineStr">
        <is>
          <t>COMFY-003,COMFY-022,UX-CONTAINER-002</t>
        </is>
      </c>
      <c r="I34" s="42" t="str"/>
      <c r="J34" s="42" t="inlineStr">
        <is>
          <t>Not Reviewed</t>
        </is>
      </c>
      <c r="K34" s="110" t="n"/>
      <c r="L34" s="42" t="str"/>
    </row>
  </sheetData>
  <mergeCells count="2">
    <mergeCell ref="A2:L2"/>
    <mergeCell ref="A1:L1"/>
  </mergeCells>
  <conditionalFormatting sqref="F5:F34">
    <cfRule type="colorScale" priority="1">
      <colorScale>
        <cfvo type="min"/>
        <cfvo type="percentile" val="50"/>
        <cfvo type="max"/>
        <color rgb="FFFEE4E2"/>
        <color rgb="FFFEF0C7"/>
        <color rgb="FFD1FADF"/>
      </colorScale>
    </cfRule>
  </conditionalFormatting>
  <conditionalFormatting sqref="E5:E34">
    <cfRule type="expression" priority="2" dxfId="0">
      <formula>E5="High"</formula>
    </cfRule>
    <cfRule type="expression" priority="3" dxfId="4">
      <formula>E5="Medium"</formula>
    </cfRule>
  </conditionalFormatting>
  <dataValidations count="1">
    <dataValidation sqref="J5:J34" showDropDown="0" showInputMessage="0" showErrorMessage="0" allowBlank="0" type="list">
      <formula1>"Not Reviewed,In Review,Remediation Open,Re-review Required,Closed"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17" customWidth="1" min="1" max="1"/>
    <col width="27" customWidth="1" min="2" max="2"/>
    <col width="46" customWidth="1" min="3" max="3"/>
    <col width="24" customWidth="1" min="4" max="4"/>
    <col width="28" customWidth="1" min="5" max="5"/>
    <col width="15" customWidth="1" min="6" max="6"/>
    <col width="28" customWidth="1" min="7" max="7"/>
    <col width="10" customWidth="1" min="8" max="8"/>
  </cols>
  <sheetData>
    <row r="1" ht="34" customHeight="1">
      <c r="A1" s="53" t="inlineStr">
        <is>
          <t>Premiere316 UI/UX QA — Reconciled Release Dashboard</t>
        </is>
      </c>
      <c r="B1" s="1" t="n"/>
      <c r="C1" s="1" t="n"/>
      <c r="D1" s="1" t="n"/>
      <c r="E1" s="1" t="n"/>
      <c r="F1" s="1" t="n"/>
      <c r="G1" s="1" t="n"/>
      <c r="H1" s="1" t="n"/>
    </row>
    <row r="2" ht="30" customHeight="1">
      <c r="A2" s="30" t="inlineStr">
        <is>
          <t>Commit 17234f7 · Original audit reconciled with the exhaustive QA plan and decluttering pass · Current verdict remains NO-GO until P1 gates close and required UAT passes.</t>
        </is>
      </c>
      <c r="B2" s="1" t="n"/>
      <c r="C2" s="1" t="n"/>
      <c r="D2" s="1" t="n"/>
      <c r="E2" s="1" t="n"/>
      <c r="F2" s="1" t="n"/>
      <c r="G2" s="1" t="n"/>
      <c r="H2" s="1" t="n"/>
    </row>
    <row r="4">
      <c r="A4" s="59" t="inlineStr">
        <is>
          <t>Total Tasks</t>
        </is>
      </c>
      <c r="B4" s="1" t="n"/>
      <c r="D4" s="59" t="inlineStr">
        <is>
          <t>P1 Release Blockers</t>
        </is>
      </c>
      <c r="E4" s="1" t="n"/>
      <c r="G4" s="59" t="inlineStr">
        <is>
          <t>Open Hard Gates</t>
        </is>
      </c>
      <c r="H4" s="1" t="n"/>
    </row>
    <row r="5">
      <c r="A5" s="67">
        <f>COUNTA('Master Tasks'!$A$5:$A$122)</f>
        <v/>
      </c>
      <c r="B5" s="1" t="n"/>
      <c r="D5" s="75">
        <f>COUNTIF('Master Tasks'!$D$5:$D$122,"P1")</f>
        <v/>
      </c>
      <c r="E5" s="1" t="n"/>
      <c r="G5" s="83">
        <f>COUNTIFS('Master Tasks'!$E$5:$E$122,"Yes",'Master Tasks'!$U$5:$U$122,"&lt;&gt;Done")</f>
        <v/>
      </c>
      <c r="H5" s="1" t="n"/>
    </row>
    <row r="6">
      <c r="A6" s="1" t="n"/>
      <c r="B6" s="1" t="n"/>
      <c r="D6" s="1" t="n"/>
      <c r="E6" s="1" t="n"/>
      <c r="G6" s="1" t="n"/>
      <c r="H6" s="1" t="n"/>
    </row>
    <row r="8">
      <c r="A8" s="59" t="inlineStr">
        <is>
          <t>Added Missing Tasks</t>
        </is>
      </c>
      <c r="B8" s="1" t="n"/>
      <c r="D8" s="59" t="inlineStr">
        <is>
          <t>UAT Cases</t>
        </is>
      </c>
      <c r="E8" s="1" t="n"/>
      <c r="G8" s="59" t="inlineStr">
        <is>
          <t>Overall Completion</t>
        </is>
      </c>
      <c r="H8" s="1" t="n"/>
    </row>
    <row r="9">
      <c r="A9" s="91">
        <f>COUNTIF('Master Tasks'!$I$5:$I$122,"Yes")</f>
        <v/>
      </c>
      <c r="B9" s="1" t="n"/>
      <c r="D9" s="67">
        <f>COUNTA('UAT Matrix'!$A$5:$A$132)</f>
        <v/>
      </c>
      <c r="E9" s="1" t="n"/>
      <c r="G9" s="111">
        <f>IFERROR(AVERAGE('Master Tasks'!$V$5:$V$122)/100,0)</f>
        <v/>
      </c>
      <c r="H9" s="1" t="n"/>
    </row>
    <row r="10">
      <c r="A10" s="1" t="n"/>
      <c r="B10" s="1" t="n"/>
      <c r="D10" s="1" t="n"/>
      <c r="E10" s="1" t="n"/>
      <c r="G10" s="1" t="n"/>
      <c r="H10" s="1" t="n"/>
    </row>
    <row r="12">
      <c r="A12" s="109">
        <f>IF(COUNTIFS('Master Tasks'!$D$5:$D$122,"P1",'Master Tasks'!$U$5:$U$122,"&lt;&gt;Done")&gt;0,"NO-GO — OPEN P1 RELEASE BLOCKERS","CONDITIONAL GO — VERIFY P2 GATES AND UAT")</f>
        <v/>
      </c>
      <c r="B12" s="1" t="n"/>
      <c r="C12" s="1" t="n"/>
      <c r="D12" s="1" t="n"/>
      <c r="E12" s="1" t="n"/>
      <c r="F12" s="1" t="n"/>
      <c r="G12" s="1" t="n"/>
      <c r="H12" s="1" t="n"/>
    </row>
    <row r="13">
      <c r="A13" s="1" t="n"/>
      <c r="B13" s="1" t="n"/>
      <c r="C13" s="1" t="n"/>
      <c r="D13" s="1" t="n"/>
      <c r="E13" s="1" t="n"/>
      <c r="F13" s="1" t="n"/>
      <c r="G13" s="1" t="n"/>
      <c r="H13" s="1" t="n"/>
    </row>
    <row r="15" ht="34" customHeight="1">
      <c r="A15" s="35" t="inlineStr">
        <is>
          <t>Task Status</t>
        </is>
      </c>
      <c r="B15" s="35" t="inlineStr">
        <is>
          <t>Count</t>
        </is>
      </c>
      <c r="D15" s="35" t="inlineStr">
        <is>
          <t>Priority</t>
        </is>
      </c>
      <c r="E15" s="35" t="inlineStr">
        <is>
          <t>Count</t>
        </is>
      </c>
      <c r="G15" s="35" t="inlineStr">
        <is>
          <t>Phase</t>
        </is>
      </c>
      <c r="H15" s="35" t="inlineStr">
        <is>
          <t>Count</t>
        </is>
      </c>
    </row>
    <row r="16">
      <c r="A16" s="41" t="inlineStr">
        <is>
          <t>Not Started</t>
        </is>
      </c>
      <c r="B16" s="41">
        <f>COUNTIF('Master Tasks'!$U$5:$U$122,A16)</f>
        <v/>
      </c>
      <c r="C16" s="41" t="n"/>
      <c r="D16" s="41" t="inlineStr">
        <is>
          <t>P1</t>
        </is>
      </c>
      <c r="E16" s="41">
        <f>COUNTIF('Master Tasks'!$D$5:$D$122,D16)</f>
        <v/>
      </c>
      <c r="F16" s="41" t="n"/>
      <c r="G16" s="41" t="inlineStr">
        <is>
          <t>G1 — State truth &amp; silent loss</t>
        </is>
      </c>
      <c r="H16" s="41">
        <f>COUNTIF('Master Tasks'!$Q$5:$Q$122,G16)</f>
        <v/>
      </c>
    </row>
    <row r="17">
      <c r="A17" s="41" t="inlineStr">
        <is>
          <t>In Progress</t>
        </is>
      </c>
      <c r="B17" s="41">
        <f>COUNTIF('Master Tasks'!$U$5:$U$122,A17)</f>
        <v/>
      </c>
      <c r="C17" s="41" t="n"/>
      <c r="D17" s="41" t="inlineStr">
        <is>
          <t>P2</t>
        </is>
      </c>
      <c r="E17" s="41">
        <f>COUNTIF('Master Tasks'!$D$5:$D$122,D17)</f>
        <v/>
      </c>
      <c r="F17" s="41" t="n"/>
      <c r="G17" s="41" t="inlineStr">
        <is>
          <t>G2 — Playback/import architecture</t>
        </is>
      </c>
      <c r="H17" s="41">
        <f>COUNTIF('Master Tasks'!$Q$5:$Q$122,G17)</f>
        <v/>
      </c>
    </row>
    <row r="18">
      <c r="A18" s="41" t="inlineStr">
        <is>
          <t>Blocked</t>
        </is>
      </c>
      <c r="B18" s="41">
        <f>COUNTIF('Master Tasks'!$U$5:$U$122,A18)</f>
        <v/>
      </c>
      <c r="C18" s="41" t="n"/>
      <c r="D18" s="41" t="inlineStr">
        <is>
          <t>P3</t>
        </is>
      </c>
      <c r="E18" s="41">
        <f>COUNTIF('Master Tasks'!$D$5:$D$122,D18)</f>
        <v/>
      </c>
      <c r="F18" s="41" t="n"/>
      <c r="G18" s="41" t="inlineStr">
        <is>
          <t>G3 — Workflow efficiency &amp; declutter</t>
        </is>
      </c>
      <c r="H18" s="41">
        <f>COUNTIF('Master Tasks'!$Q$5:$Q$122,G18)</f>
        <v/>
      </c>
    </row>
    <row r="19">
      <c r="A19" s="41" t="inlineStr">
        <is>
          <t>Ready for QA</t>
        </is>
      </c>
      <c r="B19" s="41">
        <f>COUNTIF('Master Tasks'!$U$5:$U$122,A19)</f>
        <v/>
      </c>
      <c r="C19" s="41" t="n"/>
      <c r="D19" s="41" t="n"/>
      <c r="E19" s="41" t="n"/>
      <c r="F19" s="41" t="n"/>
      <c r="G19" s="41" t="inlineStr">
        <is>
          <t>G4 — Accessibility &amp; release gates</t>
        </is>
      </c>
      <c r="H19" s="41">
        <f>COUNTIF('Master Tasks'!$Q$5:$Q$122,G19)</f>
        <v/>
      </c>
    </row>
    <row r="20">
      <c r="A20" s="41" t="inlineStr">
        <is>
          <t>Done</t>
        </is>
      </c>
      <c r="B20" s="41">
        <f>COUNTIF('Master Tasks'!$U$5:$U$122,A20)</f>
        <v/>
      </c>
      <c r="C20" s="41" t="n"/>
      <c r="D20" s="41" t="n"/>
      <c r="E20" s="41" t="n"/>
      <c r="F20" s="41" t="n"/>
      <c r="G20" s="41" t="inlineStr">
        <is>
          <t>Future — Product decisions</t>
        </is>
      </c>
      <c r="H20" s="41">
        <f>COUNTIF('Master Tasks'!$Q$5:$Q$122,G20)</f>
        <v/>
      </c>
    </row>
    <row r="21">
      <c r="A21" s="41" t="inlineStr">
        <is>
          <t>Deferred</t>
        </is>
      </c>
      <c r="B21" s="41">
        <f>COUNTIF('Master Tasks'!$U$5:$U$122,A21)</f>
        <v/>
      </c>
      <c r="C21" s="41" t="n"/>
      <c r="D21" s="41" t="n"/>
      <c r="E21" s="41" t="n"/>
      <c r="F21" s="41" t="n"/>
      <c r="G21" s="41" t="n"/>
      <c r="H21" s="41" t="n"/>
    </row>
    <row r="22">
      <c r="A22" s="41" t="inlineStr">
        <is>
          <t>Not Applicable</t>
        </is>
      </c>
      <c r="B22" s="41">
        <f>COUNTIF('Master Tasks'!$U$5:$U$122,A22)</f>
        <v/>
      </c>
      <c r="C22" s="41" t="n"/>
      <c r="D22" s="41" t="n"/>
      <c r="E22" s="41" t="n"/>
      <c r="F22" s="41" t="n"/>
      <c r="G22" s="41" t="n"/>
      <c r="H22" s="41" t="n"/>
    </row>
    <row r="25" ht="34" customHeight="1">
      <c r="A25" s="35" t="inlineStr">
        <is>
          <t>Open P1 Task</t>
        </is>
      </c>
      <c r="B25" s="35" t="inlineStr">
        <is>
          <t>Workstream</t>
        </is>
      </c>
      <c r="C25" s="35" t="inlineStr">
        <is>
          <t>Task Title</t>
        </is>
      </c>
      <c r="D25" s="35" t="inlineStr">
        <is>
          <t>Owner</t>
        </is>
      </c>
      <c r="E25" s="35" t="inlineStr">
        <is>
          <t>Phase</t>
        </is>
      </c>
      <c r="F25" s="35" t="inlineStr">
        <is>
          <t>Status</t>
        </is>
      </c>
      <c r="G25" s="35" t="inlineStr">
        <is>
          <t>UAT</t>
        </is>
      </c>
      <c r="H25" s="35" t="inlineStr">
        <is>
          <t>Gate</t>
        </is>
      </c>
    </row>
    <row r="26" ht="48" customHeight="1">
      <c r="A26" s="42" t="inlineStr">
        <is>
          <t>COMFY-001</t>
        </is>
      </c>
      <c r="B26" s="42">
        <f>IFERROR(VLOOKUP($A26,'Master Tasks'!$A$5:$Z$122,3,FALSE),"")</f>
        <v/>
      </c>
      <c r="C26" s="42">
        <f>IFERROR(VLOOKUP($A26,'Master Tasks'!$A$5:$Z$122,10,FALSE),"")</f>
        <v/>
      </c>
      <c r="D26" s="42">
        <f>IFERROR(VLOOKUP($A26,'Master Tasks'!$A$5:$Z$122,16,FALSE),"")</f>
        <v/>
      </c>
      <c r="E26" s="42">
        <f>IFERROR(VLOOKUP($A26,'Master Tasks'!$A$5:$Z$122,17,FALSE),"")</f>
        <v/>
      </c>
      <c r="F26" s="42">
        <f>IFERROR(VLOOKUP($A26,'Master Tasks'!$A$5:$Z$122,21,FALSE),"")</f>
        <v/>
      </c>
      <c r="G26" s="42">
        <f>IFERROR(VLOOKUP($A26,'Master Tasks'!$A$5:$Z$122,20,FALSE),"")</f>
        <v/>
      </c>
      <c r="H26" s="42">
        <f>IFERROR(VLOOKUP($A26,'Master Tasks'!$A$5:$Z$122,5,FALSE),"")</f>
        <v/>
      </c>
    </row>
    <row r="27" ht="48" customHeight="1">
      <c r="A27" s="42" t="inlineStr">
        <is>
          <t>COMFY-002</t>
        </is>
      </c>
      <c r="B27" s="42">
        <f>IFERROR(VLOOKUP($A27,'Master Tasks'!$A$5:$Z$122,3,FALSE),"")</f>
        <v/>
      </c>
      <c r="C27" s="42">
        <f>IFERROR(VLOOKUP($A27,'Master Tasks'!$A$5:$Z$122,10,FALSE),"")</f>
        <v/>
      </c>
      <c r="D27" s="42">
        <f>IFERROR(VLOOKUP($A27,'Master Tasks'!$A$5:$Z$122,16,FALSE),"")</f>
        <v/>
      </c>
      <c r="E27" s="42">
        <f>IFERROR(VLOOKUP($A27,'Master Tasks'!$A$5:$Z$122,17,FALSE),"")</f>
        <v/>
      </c>
      <c r="F27" s="42">
        <f>IFERROR(VLOOKUP($A27,'Master Tasks'!$A$5:$Z$122,21,FALSE),"")</f>
        <v/>
      </c>
      <c r="G27" s="42">
        <f>IFERROR(VLOOKUP($A27,'Master Tasks'!$A$5:$Z$122,20,FALSE),"")</f>
        <v/>
      </c>
      <c r="H27" s="42">
        <f>IFERROR(VLOOKUP($A27,'Master Tasks'!$A$5:$Z$122,5,FALSE),"")</f>
        <v/>
      </c>
    </row>
    <row r="28" ht="48" customHeight="1">
      <c r="A28" s="42" t="inlineStr">
        <is>
          <t>COMFY-003</t>
        </is>
      </c>
      <c r="B28" s="42">
        <f>IFERROR(VLOOKUP($A28,'Master Tasks'!$A$5:$Z$122,3,FALSE),"")</f>
        <v/>
      </c>
      <c r="C28" s="42">
        <f>IFERROR(VLOOKUP($A28,'Master Tasks'!$A$5:$Z$122,10,FALSE),"")</f>
        <v/>
      </c>
      <c r="D28" s="42">
        <f>IFERROR(VLOOKUP($A28,'Master Tasks'!$A$5:$Z$122,16,FALSE),"")</f>
        <v/>
      </c>
      <c r="E28" s="42">
        <f>IFERROR(VLOOKUP($A28,'Master Tasks'!$A$5:$Z$122,17,FALSE),"")</f>
        <v/>
      </c>
      <c r="F28" s="42">
        <f>IFERROR(VLOOKUP($A28,'Master Tasks'!$A$5:$Z$122,21,FALSE),"")</f>
        <v/>
      </c>
      <c r="G28" s="42">
        <f>IFERROR(VLOOKUP($A28,'Master Tasks'!$A$5:$Z$122,20,FALSE),"")</f>
        <v/>
      </c>
      <c r="H28" s="42">
        <f>IFERROR(VLOOKUP($A28,'Master Tasks'!$A$5:$Z$122,5,FALSE),"")</f>
        <v/>
      </c>
    </row>
    <row r="29" ht="48" customHeight="1">
      <c r="A29" s="42" t="inlineStr">
        <is>
          <t>IMP-001</t>
        </is>
      </c>
      <c r="B29" s="42">
        <f>IFERROR(VLOOKUP($A29,'Master Tasks'!$A$5:$Z$122,3,FALSE),"")</f>
        <v/>
      </c>
      <c r="C29" s="42">
        <f>IFERROR(VLOOKUP($A29,'Master Tasks'!$A$5:$Z$122,10,FALSE),"")</f>
        <v/>
      </c>
      <c r="D29" s="42">
        <f>IFERROR(VLOOKUP($A29,'Master Tasks'!$A$5:$Z$122,16,FALSE),"")</f>
        <v/>
      </c>
      <c r="E29" s="42">
        <f>IFERROR(VLOOKUP($A29,'Master Tasks'!$A$5:$Z$122,17,FALSE),"")</f>
        <v/>
      </c>
      <c r="F29" s="42">
        <f>IFERROR(VLOOKUP($A29,'Master Tasks'!$A$5:$Z$122,21,FALSE),"")</f>
        <v/>
      </c>
      <c r="G29" s="42">
        <f>IFERROR(VLOOKUP($A29,'Master Tasks'!$A$5:$Z$122,20,FALSE),"")</f>
        <v/>
      </c>
      <c r="H29" s="42">
        <f>IFERROR(VLOOKUP($A29,'Master Tasks'!$A$5:$Z$122,5,FALSE),"")</f>
        <v/>
      </c>
    </row>
    <row r="30" ht="48" customHeight="1">
      <c r="A30" s="42" t="inlineStr">
        <is>
          <t>IMP-002</t>
        </is>
      </c>
      <c r="B30" s="42">
        <f>IFERROR(VLOOKUP($A30,'Master Tasks'!$A$5:$Z$122,3,FALSE),"")</f>
        <v/>
      </c>
      <c r="C30" s="42">
        <f>IFERROR(VLOOKUP($A30,'Master Tasks'!$A$5:$Z$122,10,FALSE),"")</f>
        <v/>
      </c>
      <c r="D30" s="42">
        <f>IFERROR(VLOOKUP($A30,'Master Tasks'!$A$5:$Z$122,16,FALSE),"")</f>
        <v/>
      </c>
      <c r="E30" s="42">
        <f>IFERROR(VLOOKUP($A30,'Master Tasks'!$A$5:$Z$122,17,FALSE),"")</f>
        <v/>
      </c>
      <c r="F30" s="42">
        <f>IFERROR(VLOOKUP($A30,'Master Tasks'!$A$5:$Z$122,21,FALSE),"")</f>
        <v/>
      </c>
      <c r="G30" s="42">
        <f>IFERROR(VLOOKUP($A30,'Master Tasks'!$A$5:$Z$122,20,FALSE),"")</f>
        <v/>
      </c>
      <c r="H30" s="42">
        <f>IFERROR(VLOOKUP($A30,'Master Tasks'!$A$5:$Z$122,5,FALSE),"")</f>
        <v/>
      </c>
    </row>
    <row r="31" ht="48" customHeight="1">
      <c r="A31" s="42" t="inlineStr">
        <is>
          <t>IMP-018</t>
        </is>
      </c>
      <c r="B31" s="42">
        <f>IFERROR(VLOOKUP($A31,'Master Tasks'!$A$5:$Z$122,3,FALSE),"")</f>
        <v/>
      </c>
      <c r="C31" s="42">
        <f>IFERROR(VLOOKUP($A31,'Master Tasks'!$A$5:$Z$122,10,FALSE),"")</f>
        <v/>
      </c>
      <c r="D31" s="42">
        <f>IFERROR(VLOOKUP($A31,'Master Tasks'!$A$5:$Z$122,16,FALSE),"")</f>
        <v/>
      </c>
      <c r="E31" s="42">
        <f>IFERROR(VLOOKUP($A31,'Master Tasks'!$A$5:$Z$122,17,FALSE),"")</f>
        <v/>
      </c>
      <c r="F31" s="42">
        <f>IFERROR(VLOOKUP($A31,'Master Tasks'!$A$5:$Z$122,21,FALSE),"")</f>
        <v/>
      </c>
      <c r="G31" s="42">
        <f>IFERROR(VLOOKUP($A31,'Master Tasks'!$A$5:$Z$122,20,FALSE),"")</f>
        <v/>
      </c>
      <c r="H31" s="42">
        <f>IFERROR(VLOOKUP($A31,'Master Tasks'!$A$5:$Z$122,5,FALSE),"")</f>
        <v/>
      </c>
    </row>
    <row r="32" ht="48" customHeight="1">
      <c r="A32" s="42" t="inlineStr">
        <is>
          <t>TAKE-001</t>
        </is>
      </c>
      <c r="B32" s="42">
        <f>IFERROR(VLOOKUP($A32,'Master Tasks'!$A$5:$Z$122,3,FALSE),"")</f>
        <v/>
      </c>
      <c r="C32" s="42">
        <f>IFERROR(VLOOKUP($A32,'Master Tasks'!$A$5:$Z$122,10,FALSE),"")</f>
        <v/>
      </c>
      <c r="D32" s="42">
        <f>IFERROR(VLOOKUP($A32,'Master Tasks'!$A$5:$Z$122,16,FALSE),"")</f>
        <v/>
      </c>
      <c r="E32" s="42">
        <f>IFERROR(VLOOKUP($A32,'Master Tasks'!$A$5:$Z$122,17,FALSE),"")</f>
        <v/>
      </c>
      <c r="F32" s="42">
        <f>IFERROR(VLOOKUP($A32,'Master Tasks'!$A$5:$Z$122,21,FALSE),"")</f>
        <v/>
      </c>
      <c r="G32" s="42">
        <f>IFERROR(VLOOKUP($A32,'Master Tasks'!$A$5:$Z$122,20,FALSE),"")</f>
        <v/>
      </c>
      <c r="H32" s="42">
        <f>IFERROR(VLOOKUP($A32,'Master Tasks'!$A$5:$Z$122,5,FALSE),"")</f>
        <v/>
      </c>
    </row>
    <row r="33" ht="48" customHeight="1">
      <c r="A33" s="42" t="inlineStr">
        <is>
          <t>SEQ-AUD-001</t>
        </is>
      </c>
      <c r="B33" s="42">
        <f>IFERROR(VLOOKUP($A33,'Master Tasks'!$A$5:$Z$122,3,FALSE),"")</f>
        <v/>
      </c>
      <c r="C33" s="42">
        <f>IFERROR(VLOOKUP($A33,'Master Tasks'!$A$5:$Z$122,10,FALSE),"")</f>
        <v/>
      </c>
      <c r="D33" s="42">
        <f>IFERROR(VLOOKUP($A33,'Master Tasks'!$A$5:$Z$122,16,FALSE),"")</f>
        <v/>
      </c>
      <c r="E33" s="42">
        <f>IFERROR(VLOOKUP($A33,'Master Tasks'!$A$5:$Z$122,17,FALSE),"")</f>
        <v/>
      </c>
      <c r="F33" s="42">
        <f>IFERROR(VLOOKUP($A33,'Master Tasks'!$A$5:$Z$122,21,FALSE),"")</f>
        <v/>
      </c>
      <c r="G33" s="42">
        <f>IFERROR(VLOOKUP($A33,'Master Tasks'!$A$5:$Z$122,20,FALSE),"")</f>
        <v/>
      </c>
      <c r="H33" s="42">
        <f>IFERROR(VLOOKUP($A33,'Master Tasks'!$A$5:$Z$122,5,FALSE),"")</f>
        <v/>
      </c>
    </row>
    <row r="34" ht="48" customHeight="1">
      <c r="A34" s="42" t="inlineStr">
        <is>
          <t>IMP-003</t>
        </is>
      </c>
      <c r="B34" s="42">
        <f>IFERROR(VLOOKUP($A34,'Master Tasks'!$A$5:$Z$122,3,FALSE),"")</f>
        <v/>
      </c>
      <c r="C34" s="42">
        <f>IFERROR(VLOOKUP($A34,'Master Tasks'!$A$5:$Z$122,10,FALSE),"")</f>
        <v/>
      </c>
      <c r="D34" s="42">
        <f>IFERROR(VLOOKUP($A34,'Master Tasks'!$A$5:$Z$122,16,FALSE),"")</f>
        <v/>
      </c>
      <c r="E34" s="42">
        <f>IFERROR(VLOOKUP($A34,'Master Tasks'!$A$5:$Z$122,17,FALSE),"")</f>
        <v/>
      </c>
      <c r="F34" s="42">
        <f>IFERROR(VLOOKUP($A34,'Master Tasks'!$A$5:$Z$122,21,FALSE),"")</f>
        <v/>
      </c>
      <c r="G34" s="42">
        <f>IFERROR(VLOOKUP($A34,'Master Tasks'!$A$5:$Z$122,20,FALSE),"")</f>
        <v/>
      </c>
      <c r="H34" s="42">
        <f>IFERROR(VLOOKUP($A34,'Master Tasks'!$A$5:$Z$122,5,FALSE),"")</f>
        <v/>
      </c>
    </row>
    <row r="35" ht="48" customHeight="1">
      <c r="A35" s="42" t="inlineStr">
        <is>
          <t>SEQ-PLAY-001</t>
        </is>
      </c>
      <c r="B35" s="42">
        <f>IFERROR(VLOOKUP($A35,'Master Tasks'!$A$5:$Z$122,3,FALSE),"")</f>
        <v/>
      </c>
      <c r="C35" s="42">
        <f>IFERROR(VLOOKUP($A35,'Master Tasks'!$A$5:$Z$122,10,FALSE),"")</f>
        <v/>
      </c>
      <c r="D35" s="42">
        <f>IFERROR(VLOOKUP($A35,'Master Tasks'!$A$5:$Z$122,16,FALSE),"")</f>
        <v/>
      </c>
      <c r="E35" s="42">
        <f>IFERROR(VLOOKUP($A35,'Master Tasks'!$A$5:$Z$122,17,FALSE),"")</f>
        <v/>
      </c>
      <c r="F35" s="42">
        <f>IFERROR(VLOOKUP($A35,'Master Tasks'!$A$5:$Z$122,21,FALSE),"")</f>
        <v/>
      </c>
      <c r="G35" s="42">
        <f>IFERROR(VLOOKUP($A35,'Master Tasks'!$A$5:$Z$122,20,FALSE),"")</f>
        <v/>
      </c>
      <c r="H35" s="42">
        <f>IFERROR(VLOOKUP($A35,'Master Tasks'!$A$5:$Z$122,5,FALSE),"")</f>
        <v/>
      </c>
    </row>
    <row r="36" ht="48" customHeight="1">
      <c r="A36" s="42" t="inlineStr">
        <is>
          <t>SEQ-PLAY-002</t>
        </is>
      </c>
      <c r="B36" s="42">
        <f>IFERROR(VLOOKUP($A36,'Master Tasks'!$A$5:$Z$122,3,FALSE),"")</f>
        <v/>
      </c>
      <c r="C36" s="42">
        <f>IFERROR(VLOOKUP($A36,'Master Tasks'!$A$5:$Z$122,10,FALSE),"")</f>
        <v/>
      </c>
      <c r="D36" s="42">
        <f>IFERROR(VLOOKUP($A36,'Master Tasks'!$A$5:$Z$122,16,FALSE),"")</f>
        <v/>
      </c>
      <c r="E36" s="42">
        <f>IFERROR(VLOOKUP($A36,'Master Tasks'!$A$5:$Z$122,17,FALSE),"")</f>
        <v/>
      </c>
      <c r="F36" s="42">
        <f>IFERROR(VLOOKUP($A36,'Master Tasks'!$A$5:$Z$122,21,FALSE),"")</f>
        <v/>
      </c>
      <c r="G36" s="42">
        <f>IFERROR(VLOOKUP($A36,'Master Tasks'!$A$5:$Z$122,20,FALSE),"")</f>
        <v/>
      </c>
      <c r="H36" s="42">
        <f>IFERROR(VLOOKUP($A36,'Master Tasks'!$A$5:$Z$122,5,FALSE),"")</f>
        <v/>
      </c>
    </row>
    <row r="37" ht="48" customHeight="1">
      <c r="A37" s="42" t="inlineStr">
        <is>
          <t>QA-001</t>
        </is>
      </c>
      <c r="B37" s="42">
        <f>IFERROR(VLOOKUP($A37,'Master Tasks'!$A$5:$Z$122,3,FALSE),"")</f>
        <v/>
      </c>
      <c r="C37" s="42">
        <f>IFERROR(VLOOKUP($A37,'Master Tasks'!$A$5:$Z$122,10,FALSE),"")</f>
        <v/>
      </c>
      <c r="D37" s="42">
        <f>IFERROR(VLOOKUP($A37,'Master Tasks'!$A$5:$Z$122,16,FALSE),"")</f>
        <v/>
      </c>
      <c r="E37" s="42">
        <f>IFERROR(VLOOKUP($A37,'Master Tasks'!$A$5:$Z$122,17,FALSE),"")</f>
        <v/>
      </c>
      <c r="F37" s="42">
        <f>IFERROR(VLOOKUP($A37,'Master Tasks'!$A$5:$Z$122,21,FALSE),"")</f>
        <v/>
      </c>
      <c r="G37" s="42">
        <f>IFERROR(VLOOKUP($A37,'Master Tasks'!$A$5:$Z$122,20,FALSE),"")</f>
        <v/>
      </c>
      <c r="H37" s="42">
        <f>IFERROR(VLOOKUP($A37,'Master Tasks'!$A$5:$Z$122,5,FALSE),"")</f>
        <v/>
      </c>
    </row>
  </sheetData>
  <mergeCells count="15">
    <mergeCell ref="A4:B4"/>
    <mergeCell ref="G4:H4"/>
    <mergeCell ref="D8:E8"/>
    <mergeCell ref="A12:H13"/>
    <mergeCell ref="A2:H2"/>
    <mergeCell ref="D5:E6"/>
    <mergeCell ref="A5:B6"/>
    <mergeCell ref="G5:H6"/>
    <mergeCell ref="D4:E4"/>
    <mergeCell ref="A1:H1"/>
    <mergeCell ref="G8:H8"/>
    <mergeCell ref="A8:B8"/>
    <mergeCell ref="A9:B10"/>
    <mergeCell ref="G9:H10"/>
    <mergeCell ref="D9:E10"/>
  </mergeCells>
  <conditionalFormatting sqref="F26:F37">
    <cfRule type="expression" priority="1" dxfId="11">
      <formula>F26="Done"</formula>
    </cfRule>
    <cfRule type="expression" priority="2" dxfId="0">
      <formula>F26="Blocked"</formula>
    </cfRule>
  </conditionalFormatting>
  <dataValidations count="1">
    <dataValidation sqref="F26:F37" showDropDown="0" showInputMessage="0" showErrorMessage="0" allowBlank="0" type="list">
      <formula1>"Not Started,In Progress,Blocked,Ready for QA,Done,Deferred,Not Applicable"</formula1>
    </dataValidation>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2026-08-22T22:52:26Z</dcterms:created>
  <dcterms:modified xsi:type="dcterms:W3CDTF">2026-08-22T22:52:35Z</dcterms:modified>
</cp:coreProperties>
</file>