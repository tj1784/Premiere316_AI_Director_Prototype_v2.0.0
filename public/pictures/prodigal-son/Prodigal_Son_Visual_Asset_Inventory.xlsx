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3da67a3f1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df4e5701b69d4be0"/>
    <x:sheet xmlns:r="http://schemas.openxmlformats.org/officeDocument/2006/relationships" name="Scenes" sheetId="2" r:id="Rbfaef22e957e473a"/>
    <x:sheet xmlns:r="http://schemas.openxmlformats.org/officeDocument/2006/relationships" name="Scene Links" sheetId="3" r:id="R3f70c3f077ac4313"/>
    <x:sheet xmlns:r="http://schemas.openxmlformats.org/officeDocument/2006/relationships" name="Continuity" sheetId="4" r:id="Re771949cc4534edc"/>
    <x:sheet xmlns:r="http://schemas.openxmlformats.org/officeDocument/2006/relationships" name="Readme" sheetId="5" r:id="R2bca77317491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[m]:ss"/>
  </x:numFmts>
  <x:fonts count="4">
    <x:font>
      <x:sz val="11"/>
      <x:name val="Carlito"/>
    </x:font>
    <x:font>
      <x:sz val="10"/>
      <x:color rgb="FF352E28"/>
      <x:name val="Arial"/>
    </x:font>
    <x:font>
      <x:b/>
      <x:sz val="16"/>
      <x:color rgb="FF352E2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D493B"/>
      </x:patternFill>
    </x:fill>
    <x:fill>
      <x:patternFill patternType="solid">
        <x:fgColor rgb="FFF5F2EC"/>
      </x:patternFill>
    </x:fill>
    <x:fill>
      <x:patternFill patternType="solid">
        <x:fgColor rgb="FFFFF2D9"/>
      </x:patternFill>
    </x:fill>
  </x:fills>
  <x:borders count="5">
    <x:border/>
    <x:border>
      <x:bottom style="thin">
        <x:color rgb="FFB6A78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4" borderId="0" xfId="0" applyNumberFormat="1" applyFont="1" applyFill="1" applyBorder="1" applyAlignment="1">
      <x:alignment vertical="top" wrapText="0"/>
    </x:xf>
    <x:xf numFmtId="200" fontId="1" fillId="3" borderId="0" xfId="0" applyNumberFormat="1" applyFont="1" applyFill="1" applyBorder="1" applyAlignment="1">
      <x:alignment vertical="top" wrapText="0"/>
    </x:xf>
    <x:xf numFmtId="200" fontId="1" fillId="0" borderId="0" xfId="0" applyNumberFormat="1" applyFont="1" applyFill="1" applyBorder="1" applyAlignment="1">
      <x:alignment vertical="top" wrapText="0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355324"/>
      </x:font>
      <x:fill>
        <x:patternFill patternType="solid">
          <x:bgColor rgb="FFE7EEDC"/>
        </x:patternFill>
      </x:fill>
    </x:dxf>
    <x:dxf>
      <x:font>
        <x:color rgb="FF852F28"/>
      </x:font>
      <x:fill>
        <x:patternFill patternType="solid">
          <x:bgColor rgb="FFF7DE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3b6fd563f4c02" /><Relationship Type="http://schemas.openxmlformats.org/officeDocument/2006/relationships/theme" Target="/xl/theme/theme1.xml" Id="R3e9394b11d2d461a" /><Relationship Type="http://schemas.openxmlformats.org/officeDocument/2006/relationships/sharedStrings" Target="/xl/sharedStrings.xml" Id="R5908538ee5e54453" /><Relationship Type="http://schemas.openxmlformats.org/officeDocument/2006/relationships/worksheet" Target="/xl/worksheets/sheet1.xml" Id="Rdf4e5701b69d4be0" /><Relationship Type="http://schemas.openxmlformats.org/officeDocument/2006/relationships/worksheet" Target="/xl/worksheets/sheet2.xml" Id="Rbfaef22e957e473a" /><Relationship Type="http://schemas.openxmlformats.org/officeDocument/2006/relationships/worksheet" Target="/xl/worksheets/sheet3.xml" Id="R3f70c3f077ac4313" /><Relationship Type="http://schemas.openxmlformats.org/officeDocument/2006/relationships/worksheet" Target="/xl/worksheets/sheet4.xml" Id="Re771949cc4534edc" /><Relationship Type="http://schemas.openxmlformats.org/officeDocument/2006/relationships/worksheet" Target="/xl/worksheets/sheet5.xml" Id="R2bca77317491419f" /></Relationships>
</file>

<file path=xl/tables/table1.xml><?xml version="1.0" encoding="utf-8"?>
<x:table xmlns:x="http://schemas.openxmlformats.org/spreadsheetml/2006/main" id="1" name="VisualAssets" displayName="VisualAssets" ref="A6:K135" headerRowCount="1" totalsRowCount="0" totalsRowShown="0">
  <x:autoFilter ref="A6:K135"/>
  <x:tableColumns count="11">
    <x:tableColumn id="1" name="Asset ID"/>
    <x:tableColumn id="2" name="Category"/>
    <x:tableColumn id="3" name="Asset name"/>
    <x:tableColumn id="4" name="Canonical parent"/>
    <x:tableColumn id="5" name="Design requirement"/>
    <x:tableColumn id="6" name="Continuity state"/>
    <x:tableColumn id="7" name="Scene uses"/>
    <x:tableColumn id="8" name="Required reference"/>
    <x:tableColumn id="9" name="Approval status"/>
    <x:tableColumn id="10" name="Approved asset path"/>
    <x:tableColumn id="11" name="Scene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eBreakdown" displayName="SceneBreakdown" ref="A6:J29" headerRowCount="1" totalsRowCount="0" totalsRowShown="0">
  <x:autoFilter ref="A6:J29"/>
  <x:tableColumns count="10">
    <x:tableColumn id="1" name="Scene ID"/>
    <x:tableColumn id="2" name="Scene title"/>
    <x:tableColumn id="3" name="Setting"/>
    <x:tableColumn id="4" name="Story time"/>
    <x:tableColumn id="5" name="Seconds"/>
    <x:tableColumn id="6" name="Duration"/>
    <x:tableColumn id="7" name="Start"/>
    <x:tableColumn id="8" name="End"/>
    <x:tableColumn id="9" name="Visible action"/>
    <x:tableColumn id="10" name="Continuity foc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eAssetLinks" displayName="SceneAssetLinks" ref="A6:D545" headerRowCount="1" totalsRowCount="0" totalsRowShown="0">
  <x:autoFilter ref="A6:D545"/>
  <x:tableColumns count="4">
    <x:tableColumn id="1" name="Scene ID"/>
    <x:tableColumn id="2" name="Asset ID"/>
    <x:tableColumn id="3" name="Asset name"/>
    <x:tableColumn id="4" name="Scene-specific u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inuityRegister" displayName="ContinuityRegister" ref="A6:F35" headerRowCount="1" totalsRowCount="0" totalsRowShown="0">
  <x:autoFilter ref="A6:F35"/>
  <x:tableColumns count="6">
    <x:tableColumn id="1" name="Continuity ID"/>
    <x:tableColumn id="2" name="Asset or family"/>
    <x:tableColumn id="3" name="Scene uses"/>
    <x:tableColumn id="4" name="Required state"/>
    <x:tableColumn id="5" name="Transition or reset"/>
    <x:tableColumn id="6" name="Keep consta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27ca0d045b43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a2d4156beb4f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7d2df58e6948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91e2dfb94746fe" /></Relationships>
</file>

<file path=xl/worksheets/sheet1.xml><?xml version="1.0" encoding="utf-8"?>
<x:worksheet xmlns:x="http://schemas.openxmlformats.org/spreadsheetml/2006/main">
  <x:sheetPr>
    <x:tabColor rgb="FF4D493B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36" hidden="0" customWidth="1"/>
    <x:col min="4" max="4" width="30" hidden="0" customWidth="1"/>
    <x:col min="5" max="5" width="66" hidden="0" customWidth="1"/>
    <x:col min="6" max="6" width="48" hidden="0" customWidth="1"/>
    <x:col min="7" max="7" width="48" hidden="0" customWidth="1"/>
    <x:col min="8" max="8" width="48" hidden="0" customWidth="1"/>
    <x:col min="9" max="9" width="20" hidden="0" customWidth="1"/>
    <x:col min="10" max="10" width="48" hidden="0" customWidth="1"/>
    <x:col min="11" max="11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The Prodigal Son — Visual Asset Inventory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A4" s="2" t="str">
        <x:v>Planned assets</x:v>
      </x:c>
      <x:c r="B4" s="2" t="n">
        <x:f>COUNTA(A7:A135)</x:f>
        <x:v>129</x:v>
      </x:c>
      <x:c r="C4" s="2"/>
      <x:c r="D4" s="2" t="str">
        <x:v>Approved assets</x:v>
      </x:c>
      <x:c r="E4" s="2" t="n">
        <x:f>COUNTIFS(I7:I135,"Approved")</x:f>
        <x:v>0</x:v>
      </x:c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2" customHeight="1">
      <x:c r="A6" s="13" t="str">
        <x:v>Asset ID</x:v>
      </x:c>
      <x:c r="B6" s="14" t="str">
        <x:v>Category</x:v>
      </x:c>
      <x:c r="C6" s="14" t="str">
        <x:v>Asset name</x:v>
      </x:c>
      <x:c r="D6" s="14" t="str">
        <x:v>Canonical parent</x:v>
      </x:c>
      <x:c r="E6" s="14" t="str">
        <x:v>Design requirement</x:v>
      </x:c>
      <x:c r="F6" s="14" t="str">
        <x:v>Continuity state</x:v>
      </x:c>
      <x:c r="G6" s="14" t="str">
        <x:v>Scene uses</x:v>
      </x:c>
      <x:c r="H6" s="14" t="str">
        <x:v>Required reference</x:v>
      </x:c>
      <x:c r="I6" s="14" t="str">
        <x:v>Approval status</x:v>
      </x:c>
      <x:c r="J6" s="14" t="str">
        <x:v>Approved asset path</x:v>
      </x:c>
      <x:c r="K6" s="15" t="str">
        <x:v>Scene count</x:v>
      </x:c>
    </x:row>
    <x:row r="7" ht="24" hidden="0" customHeight="1">
      <x:c r="A7" s="22" t="str">
        <x:v>PS-CHR-JESUS</x:v>
      </x:c>
      <x:c r="B7" s="22" t="str">
        <x:v>Character</x:v>
      </x:c>
      <x:c r="C7" s="18" t="str">
        <x:v>Jesus</x:v>
      </x:c>
      <x:c r="D7" s="22" t="str"/>
      <x:c r="E7" s="18" t="str">
        <x:v>Living Jesus with consistent Mediterranean appearance, natural human scale and clean first-century clothing. Final face and age appearance require casting approval.</x:v>
      </x:c>
      <x:c r="F7" s="18" t="str">
        <x:v>Clean prologue only. No wounds, blood, burial linen or supernatural effects.</x:v>
      </x:c>
      <x:c r="G7" s="18" t="str">
        <x:v>PS-S01</x:v>
      </x:c>
      <x:c r="H7" s="18" t="str">
        <x:v>Face front, three-quarter and profile; full body front/back; stable identity details.</x:v>
      </x:c>
      <x:c r="I7" s="24" t="str">
        <x:v>Pending</x:v>
      </x:c>
      <x:c r="J7" s="24" t="str"/>
      <x:c r="K7" s="25" t="n">
        <x:f>COUNTIFS('Scene Links'!$B$7:$B$545,A7)</x:f>
        <x:v>1</x:v>
      </x:c>
    </x:row>
    <x:row r="8" ht="24" hidden="0" customHeight="1">
      <x:c r="A8" s="23" t="str">
        <x:v>PS-CHR-FATHER</x:v>
      </x:c>
      <x:c r="B8" s="23" t="str">
        <x:v>Character</x:v>
      </x:c>
      <x:c r="C8" s="17" t="str">
        <x:v>Father</x:v>
      </x:c>
      <x:c r="D8" s="23" t="str"/>
      <x:c r="E8" s="17" t="str">
        <x:v>Late fifties. Stable face, hair, beard, height and build across travel, grief and reunion. Natural age and capability to run.</x:v>
      </x:c>
      <x:c r="F8" s="17" t="str">
        <x:v>Same identity. S15 uses remembered S4 action. Dirt from S18 remains in the continuous homecoming evening.</x:v>
      </x:c>
      <x:c r="G8" s="17" t="str">
        <x:v>PS-S02, PS-S03, PS-S04, PS-S05, PS-S06, PS-S07, PS-S11, PS-S14, PS-S15, PS-S16, PS-S18, PS-S19, PS-S20, PS-S21, PS-S22</x:v>
      </x:c>
      <x:c r="H8" s="17" t="str">
        <x:v>Face front, three-quarter and profile; full body front/back; stable identity details.</x:v>
      </x:c>
      <x:c r="I8" s="24" t="str">
        <x:v>Pending</x:v>
      </x:c>
      <x:c r="J8" s="24" t="str"/>
      <x:c r="K8" s="26" t="n">
        <x:f>COUNTIFS('Scene Links'!$B$7:$B$545,A8)</x:f>
        <x:v>15</x:v>
      </x:c>
    </x:row>
    <x:row r="9" ht="24" hidden="0" customHeight="1">
      <x:c r="A9" s="22" t="str">
        <x:v>PS-CHR-ELDER</x:v>
      </x:c>
      <x:c r="B9" s="22" t="str">
        <x:v>Character</x:v>
      </x:c>
      <x:c r="C9" s="18" t="str">
        <x:v>Elder son</x:v>
      </x:c>
      <x:c r="D9" s="22" t="str"/>
      <x:c r="E9" s="18" t="str">
        <x:v>Twenty-nine, brown hair, sun-darkened skin, composed mature face. Match face, body and left-hand anatomy across every state.</x:v>
      </x:c>
      <x:c r="F9" s="18" t="str">
        <x:v>Left palm split S3; dressed S3 onward; healing S11; reopened S14; scar by S16. S15 memory reuses S2 state.</x:v>
      </x:c>
      <x:c r="G9" s="18" t="str">
        <x:v>PS-S02, PS-S03, PS-S04, PS-S05, PS-S06, PS-S07, PS-S11, PS-S14, PS-S15, PS-S16, PS-S20, PS-S21, PS-S22</x:v>
      </x:c>
      <x:c r="H9" s="18" t="str">
        <x:v>Face front, three-quarter and profile; full body front/back; stable identity details.</x:v>
      </x:c>
      <x:c r="I9" s="24" t="str">
        <x:v>Pending</x:v>
      </x:c>
      <x:c r="J9" s="24" t="str"/>
      <x:c r="K9" s="25" t="n">
        <x:f>COUNTIFS('Scene Links'!$B$7:$B$545,A9)</x:f>
        <x:v>13</x:v>
      </x:c>
    </x:row>
    <x:row r="10" ht="36" hidden="0" customHeight="1">
      <x:c r="A10" s="23" t="str">
        <x:v>PS-CHR-YOUNGER</x:v>
      </x:c>
      <x:c r="B10" s="23" t="str">
        <x:v>Character</x:v>
      </x:c>
      <x:c r="C10" s="17" t="str">
        <x:v>Younger son</x:v>
      </x:c>
      <x:c r="D10" s="23" t="str"/>
      <x:c r="E10" s="17" t="str">
        <x:v>Twenty-two, handsome, brown hair. One stable identity across well-fed home life, purchased welcome, hunger and homecoming.</x:v>
      </x:c>
      <x:c r="F10" s="17" t="str">
        <x:v>Progressive wasting, dirt, hair disorder and fatigue. Restored clothing does not instantly restore health.</x:v>
      </x:c>
      <x:c r="G10" s="17" t="str">
        <x:v>PS-S02, PS-S03, PS-S04, PS-S05, PS-S06, PS-S07, PS-S08, PS-S09, PS-S10, PS-S12, PS-S13, PS-S15, PS-S17, PS-S18, PS-S19, PS-S20, PS-S21, PS-S22</x:v>
      </x:c>
      <x:c r="H10" s="17" t="str">
        <x:v>Face front, three-quarter and profile; full body front/back; stable identity details.</x:v>
      </x:c>
      <x:c r="I10" s="24" t="str">
        <x:v>Pending</x:v>
      </x:c>
      <x:c r="J10" s="24" t="str"/>
      <x:c r="K10" s="26" t="n">
        <x:f>COUNTIFS('Scene Links'!$B$7:$B$545,A10)</x:f>
        <x:v>18</x:v>
      </x:c>
    </x:row>
    <x:row r="11" ht="24" hidden="0" customHeight="1">
      <x:c r="A11" s="22" t="str">
        <x:v>PS-CHR-MATTAN</x:v>
      </x:c>
      <x:c r="B11" s="22" t="str">
        <x:v>Character</x:v>
      </x:c>
      <x:c r="C11" s="18" t="str">
        <x:v>Mattan, steward</x:v>
      </x:c>
      <x:c r="D11" s="22" t="str"/>
      <x:c r="E11" s="18" t="str">
        <x:v>Adult Judean household steward, consistent face and practical working appearance. No uniform or official insignia.</x:v>
      </x:c>
      <x:c r="F11" s="18" t="str">
        <x:v>Travel dust S2–3; estate handling S6; same home clothing family through reunion.</x:v>
      </x:c>
      <x:c r="G11" s="18" t="str">
        <x:v>PS-S02, PS-S03, PS-S04, PS-S06, PS-S07, PS-S18, PS-S19</x:v>
      </x:c>
      <x:c r="H11" s="18" t="str">
        <x:v>Face front, three-quarter and profile; full body front/back; stable identity details.</x:v>
      </x:c>
      <x:c r="I11" s="24" t="str">
        <x:v>Pending</x:v>
      </x:c>
      <x:c r="J11" s="24" t="str"/>
      <x:c r="K11" s="25" t="n">
        <x:f>COUNTIFS('Scene Links'!$B$7:$B$545,A11)</x:f>
        <x:v>7</x:v>
      </x:c>
    </x:row>
    <x:row r="12" ht="24" hidden="0" customHeight="1">
      <x:c r="A12" s="23" t="str">
        <x:v>PS-CHR-HANNAH</x:v>
      </x:c>
      <x:c r="B12" s="23" t="str">
        <x:v>Character</x:v>
      </x:c>
      <x:c r="C12" s="17" t="str">
        <x:v>Hannah, kitchen manager</x:v>
      </x:c>
      <x:c r="D12" s="23" t="str"/>
      <x:c r="E12" s="17" t="str">
        <x:v>Adult Judean woman who manages the household kitchen. Stable face, hands, work clothes and practical hair arrangement.</x:v>
      </x:c>
      <x:c r="F12" s="17" t="str">
        <x:v>S15 memory reuses S4 carrying workers’ bowl. Gift response and homecoming remain restrained.</x:v>
      </x:c>
      <x:c r="G12" s="17" t="str">
        <x:v>PS-S03, PS-S04, PS-S07, PS-S11, PS-S15, PS-S19</x:v>
      </x:c>
      <x:c r="H12" s="17" t="str">
        <x:v>Face front, three-quarter and profile; full body front/back; stable identity details.</x:v>
      </x:c>
      <x:c r="I12" s="24" t="str">
        <x:v>Pending</x:v>
      </x:c>
      <x:c r="J12" s="24" t="str"/>
      <x:c r="K12" s="26" t="n">
        <x:f>COUNTIFS('Scene Links'!$B$7:$B$545,A12)</x:f>
        <x:v>6</x:v>
      </x:c>
    </x:row>
    <x:row r="13" ht="36" hidden="0" customHeight="1">
      <x:c r="A13" s="22" t="str">
        <x:v>PS-CHR-LEVI</x:v>
      </x:c>
      <x:c r="B13" s="22" t="str">
        <x:v>Character</x:v>
      </x:c>
      <x:c r="C13" s="18" t="str">
        <x:v>Levi, hired field hand</x:v>
      </x:c>
      <x:c r="D13" s="22" t="str"/>
      <x:c r="E13" s="18" t="str">
        <x:v>Adult hired field worker with stable face, work-worn hands and practical clothing. Distinguishable from Mattan.</x:v>
      </x:c>
      <x:c r="F13" s="18" t="str">
        <x:v>Use the same actor for basket exchange, rebuke/apology and reunion message. S15 recalls S2. S19 father sends him after preparation, as meal begins; S16 elder has gone to far side of terrace for small stones.</x:v>
      </x:c>
      <x:c r="G13" s="18" t="str">
        <x:v>PS-S02, PS-S04, PS-S11, PS-S14, PS-S15, PS-S19, PS-S20, PS-S21</x:v>
      </x:c>
      <x:c r="H13" s="18" t="str">
        <x:v>Face front, three-quarter and profile; full body front/back; stable identity details.</x:v>
      </x:c>
      <x:c r="I13" s="24" t="str">
        <x:v>Pending</x:v>
      </x:c>
      <x:c r="J13" s="24" t="str"/>
      <x:c r="K13" s="25" t="n">
        <x:f>COUNTIFS('Scene Links'!$B$7:$B$545,A13)</x:f>
        <x:v>8</x:v>
      </x:c>
    </x:row>
    <x:row r="14" ht="24" hidden="0" customHeight="1">
      <x:c r="A14" s="23" t="str">
        <x:v>PS-CHR-DAMON</x:v>
      </x:c>
      <x:c r="B14" s="23" t="str">
        <x:v>Character</x:v>
      </x:c>
      <x:c r="C14" s="17" t="str">
        <x:v>Damon</x:v>
      </x:c>
      <x:c r="D14" s="23" t="str"/>
      <x:c r="E14" s="17" t="str">
        <x:v>Young adult about younger son’s age. Recognizable across confident welcome and famine hardship.</x:v>
      </x:c>
      <x:c r="F14" s="17" t="str">
        <x:v>S9–10 adequately fed. S13 hungry and threadbare; no evil caricature.</x:v>
      </x:c>
      <x:c r="G14" s="17" t="str">
        <x:v>PS-S09, PS-S10, PS-S13</x:v>
      </x:c>
      <x:c r="H14" s="17" t="str">
        <x:v>Face front, three-quarter and profile; full body front/back; stable identity details.</x:v>
      </x:c>
      <x:c r="I14" s="24" t="str">
        <x:v>Pending</x:v>
      </x:c>
      <x:c r="J14" s="24" t="str"/>
      <x:c r="K14" s="26" t="n">
        <x:f>COUNTIFS('Scene Links'!$B$7:$B$545,A14)</x:f>
        <x:v>3</x:v>
      </x:c>
    </x:row>
    <x:row r="15" ht="24" hidden="0" customHeight="1">
      <x:c r="A15" s="22" t="str">
        <x:v>PS-CHR-BREADSELLER</x:v>
      </x:c>
      <x:c r="B15" s="22" t="str">
        <x:v>Character</x:v>
      </x:c>
      <x:c r="C15" s="18" t="str">
        <x:v>Bread seller</x:v>
      </x:c>
      <x:c r="D15" s="22" t="str"/>
      <x:c r="E15" s="18" t="str">
        <x:v>Adult woman running a bread stall. Same face, scale, sleeves and hands across plentiful and famine market.</x:v>
      </x:c>
      <x:c r="F15" s="18" t="str">
        <x:v>S9 has bread and must make change. S13 portions scarcity and gently refuses garment.</x:v>
      </x:c>
      <x:c r="G15" s="18" t="str">
        <x:v>PS-S09, PS-S13</x:v>
      </x:c>
      <x:c r="H15" s="18" t="str">
        <x:v>Face front, three-quarter and profile; full body front/back; stable identity details.</x:v>
      </x:c>
      <x:c r="I15" s="24" t="str">
        <x:v>Pending</x:v>
      </x:c>
      <x:c r="J15" s="24" t="str"/>
      <x:c r="K15" s="25" t="n">
        <x:f>COUNTIFS('Scene Links'!$B$7:$B$545,A15)</x:f>
        <x:v>2</x:v>
      </x:c>
    </x:row>
    <x:row r="16" ht="24" hidden="0" customHeight="1">
      <x:c r="A16" s="23" t="str">
        <x:v>PS-CHR-HOST</x:v>
      </x:c>
      <x:c r="B16" s="23" t="str">
        <x:v>Character</x:v>
      </x:c>
      <x:c r="C16" s="17" t="str">
        <x:v>Host</x:v>
      </x:c>
      <x:c r="D16" s="23" t="str"/>
      <x:c r="E16" s="17" t="str">
        <x:v>Adult host associated with lodging and banquet court. Same identity during warmth, debt collection and eviction.</x:v>
      </x:c>
      <x:c r="F16" s="17" t="str">
        <x:v>Appearance remains practical; reactions change with payment, not a monstrous makeover.</x:v>
      </x:c>
      <x:c r="G16" s="17" t="str">
        <x:v>PS-S10, PS-S12, PS-S13</x:v>
      </x:c>
      <x:c r="H16" s="17" t="str">
        <x:v>Face front, three-quarter and profile; full body front/back; stable identity details.</x:v>
      </x:c>
      <x:c r="I16" s="24" t="str">
        <x:v>Pending</x:v>
      </x:c>
      <x:c r="J16" s="24" t="str"/>
      <x:c r="K16" s="26" t="n">
        <x:f>COUNTIFS('Scene Links'!$B$7:$B$545,A16)</x:f>
        <x:v>3</x:v>
      </x:c>
    </x:row>
    <x:row r="17" ht="24" hidden="0" customHeight="1">
      <x:c r="A17" s="22" t="str">
        <x:v>PS-CHR-FARMER</x:v>
      </x:c>
      <x:c r="B17" s="22" t="str">
        <x:v>Character</x:v>
      </x:c>
      <x:c r="C17" s="18" t="str">
        <x:v>Foreign farmer</x:v>
      </x:c>
      <x:c r="D17" s="22" t="str"/>
      <x:c r="E17" s="18" t="str">
        <x:v>Adult farmer employing younger to carry pig feed. Stable identity and working clothing.</x:v>
      </x:c>
      <x:c r="F17" s="18" t="str">
        <x:v>No luxury or cruel theatricality required. Household meal beyond enclosure remains ordinary.</x:v>
      </x:c>
      <x:c r="G17" s="18" t="str">
        <x:v>PS-S13, PS-S15</x:v>
      </x:c>
      <x:c r="H17" s="18" t="str">
        <x:v>Face front, three-quarter and profile; full body front/back; stable identity details.</x:v>
      </x:c>
      <x:c r="I17" s="24" t="str">
        <x:v>Pending</x:v>
      </x:c>
      <x:c r="J17" s="24" t="str"/>
      <x:c r="K17" s="25" t="n">
        <x:f>COUNTIFS('Scene Links'!$B$7:$B$545,A17)</x:f>
        <x:v>2</x:v>
      </x:c>
    </x:row>
    <x:row r="18" ht="24" hidden="0" customHeight="1">
      <x:c r="A18" s="23" t="str">
        <x:v>PS-CHR-SCRIBE</x:v>
      </x:c>
      <x:c r="B18" s="23" t="str">
        <x:v>Featured extra</x:v>
      </x:c>
      <x:c r="C18" s="17" t="str">
        <x:v>Scribe</x:v>
      </x:c>
      <x:c r="D18" s="23" t="str"/>
      <x:c r="E18" s="17" t="str">
        <x:v>Adult Jewish scribe, observant and watchful. Avoid later rabbinic costume shorthand or a generalized villain design.</x:v>
      </x:c>
      <x:c r="F18" s="17" t="str">
        <x:v>Standing at edge of listening group; face and clothing stable.</x:v>
      </x:c>
      <x:c r="G18" s="17" t="str">
        <x:v>PS-S01</x:v>
      </x:c>
      <x:c r="H18" s="17" t="str">
        <x:v>Face front, three-quarter and profile; full body front/back; stable identity details.</x:v>
      </x:c>
      <x:c r="I18" s="24" t="str">
        <x:v>Pending</x:v>
      </x:c>
      <x:c r="J18" s="24" t="str"/>
      <x:c r="K18" s="26" t="n">
        <x:f>COUNTIFS('Scene Links'!$B$7:$B$545,A18)</x:f>
        <x:v>1</x:v>
      </x:c>
    </x:row>
    <x:row r="19" ht="24" hidden="0" customHeight="1">
      <x:c r="A19" s="22" t="str">
        <x:v>PS-CHR-TAXCOLLECTOR</x:v>
      </x:c>
      <x:c r="B19" s="22" t="str">
        <x:v>Featured extra</x:v>
      </x:c>
      <x:c r="C19" s="18" t="str">
        <x:v>Tax collector</x:v>
      </x:c>
      <x:c r="D19" s="22" t="str"/>
      <x:c r="E19" s="18" t="str">
        <x:v>Plainly dressed adult Jewish listener with a recognizable face. No modern occupational labels or badges.</x:v>
      </x:c>
      <x:c r="F19" s="18" t="str">
        <x:v>Seated, hospitable, shares bread.</x:v>
      </x:c>
      <x:c r="G19" s="18" t="str">
        <x:v>PS-S01</x:v>
      </x:c>
      <x:c r="H19" s="18" t="str">
        <x:v>Face front, three-quarter and profile; full body front/back; stable identity details.</x:v>
      </x:c>
      <x:c r="I19" s="24" t="str">
        <x:v>Pending</x:v>
      </x:c>
      <x:c r="J19" s="24" t="str"/>
      <x:c r="K19" s="25" t="n">
        <x:f>COUNTIFS('Scene Links'!$B$7:$B$545,A19)</x:f>
        <x:v>1</x:v>
      </x:c>
    </x:row>
    <x:row r="20" ht="24" hidden="0" customHeight="1">
      <x:c r="A20" s="23" t="str">
        <x:v>PS-EXT-LISTENERS</x:v>
      </x:c>
      <x:c r="B20" s="23" t="str">
        <x:v>Extras</x:v>
      </x:c>
      <x:c r="C20" s="17" t="str">
        <x:v>Hillside listeners and travelers</x:v>
      </x:c>
      <x:c r="D20" s="23" t="str"/>
      <x:c r="E20" s="17" t="str">
        <x:v>Mixed-age Judean gathering, including elderly woman, scribe’s companion and passing travelers. Practical varied garments.</x:v>
      </x:c>
      <x:c r="F20" s="17" t="str">
        <x:v>Natural crowd spacing in olive shade; do not repeat identical faces.</x:v>
      </x:c>
      <x:c r="G20" s="17" t="str">
        <x:v>PS-S01</x:v>
      </x:c>
      <x:c r="H20" s="17" t="str">
        <x:v>Ensemble face mix, full-body costume mix and role grouping; recurring individual references where reused.</x:v>
      </x:c>
      <x:c r="I20" s="24" t="str">
        <x:v>Pending</x:v>
      </x:c>
      <x:c r="J20" s="24" t="str"/>
      <x:c r="K20" s="26" t="n">
        <x:f>COUNTIFS('Scene Links'!$B$7:$B$545,A20)</x:f>
        <x:v>1</x:v>
      </x:c>
    </x:row>
    <x:row r="21" ht="24" hidden="0" customHeight="1">
      <x:c r="A21" s="22" t="str">
        <x:v>PS-EXT-CARRIERS</x:v>
      </x:c>
      <x:c r="B21" s="22" t="str">
        <x:v>Extras</x:v>
      </x:c>
      <x:c r="C21" s="18" t="str">
        <x:v>Two hired carriers</x:v>
      </x:c>
      <x:c r="D21" s="22" t="str"/>
      <x:c r="E21" s="18" t="str">
        <x:v>Two recurring adults accompanying pack donkey. Keep each face and travel kit recognizable.</x:v>
      </x:c>
      <x:c r="F21" s="18" t="str">
        <x:v>Same carriers from father’s arrival to departure and road fork.</x:v>
      </x:c>
      <x:c r="G21" s="18" t="str">
        <x:v>PS-S02, PS-S03, PS-S07, PS-S08</x:v>
      </x:c>
      <x:c r="H21" s="18" t="str">
        <x:v>Ensemble face mix, full-body costume mix and role grouping; recurring individual references where reused.</x:v>
      </x:c>
      <x:c r="I21" s="24" t="str">
        <x:v>Pending</x:v>
      </x:c>
      <x:c r="J21" s="24" t="str"/>
      <x:c r="K21" s="25" t="n">
        <x:f>COUNTIFS('Scene Links'!$B$7:$B$545,A21)</x:f>
        <x:v>4</x:v>
      </x:c>
    </x:row>
    <x:row r="22" ht="24" hidden="0" customHeight="1">
      <x:c r="A22" s="23" t="str">
        <x:v>PS-EXT-HOMEWORKERS</x:v>
      </x:c>
      <x:c r="B22" s="23" t="str">
        <x:v>Extras</x:v>
      </x:c>
      <x:c r="C22" s="17" t="str">
        <x:v>Household workers and second servant</x:v>
      </x:c>
      <x:c r="D22" s="23" t="str"/>
      <x:c r="E22" s="17" t="str">
        <x:v>Small stable home workforce. Includes two laborers eating/washing with Levi and one servant helping robe younger.</x:v>
      </x:c>
      <x:c r="F22" s="17" t="str">
        <x:v>Work clothes and recurring faces match between ordinary meals and feast prep.</x:v>
      </x:c>
      <x:c r="G22" s="17" t="str">
        <x:v>PS-S04, PS-S06, PS-S11, PS-S14, PS-S19</x:v>
      </x:c>
      <x:c r="H22" s="17" t="str">
        <x:v>Ensemble face mix, full-body costume mix and role grouping; recurring individual references where reused.</x:v>
      </x:c>
      <x:c r="I22" s="24" t="str">
        <x:v>Pending</x:v>
      </x:c>
      <x:c r="J22" s="24" t="str"/>
      <x:c r="K22" s="26" t="n">
        <x:f>COUNTIFS('Scene Links'!$B$7:$B$545,A22)</x:f>
        <x:v>5</x:v>
      </x:c>
    </x:row>
    <x:row r="23" ht="24" hidden="0" customHeight="1">
      <x:c r="A23" s="22" t="str">
        <x:v>PS-EXT-NEIGHBORWOMAN</x:v>
      </x:c>
      <x:c r="B23" s="22" t="str">
        <x:v>Featured extra</x:v>
      </x:c>
      <x:c r="C23" s="18" t="str">
        <x:v>Neighbor drawing water</x:v>
      </x:c>
      <x:c r="D23" s="22" t="str"/>
      <x:c r="E23" s="18" t="str">
        <x:v>Adult neighboring woman with water vessel. Distinct from Hannah and bread seller.</x:v>
      </x:c>
      <x:c r="F23" s="18" t="str">
        <x:v>Stops, watches departure and resumes without greeting.</x:v>
      </x:c>
      <x:c r="G23" s="18" t="str">
        <x:v>PS-S07</x:v>
      </x:c>
      <x:c r="H23" s="18" t="str">
        <x:v>Face front, three-quarter and profile; full body front/back; stable identity details.</x:v>
      </x:c>
      <x:c r="I23" s="24" t="str">
        <x:v>Pending</x:v>
      </x:c>
      <x:c r="J23" s="24" t="str"/>
      <x:c r="K23" s="25" t="n">
        <x:f>COUNTIFS('Scene Links'!$B$7:$B$545,A23)</x:f>
        <x:v>1</x:v>
      </x:c>
    </x:row>
    <x:row r="24" ht="24" hidden="0" customHeight="1">
      <x:c r="A24" s="23" t="str">
        <x:v>PS-EXT-OLDTRAVELER</x:v>
      </x:c>
      <x:c r="B24" s="23" t="str">
        <x:v>Featured extra</x:v>
      </x:c>
      <x:c r="C24" s="17" t="str">
        <x:v>Old traveler at cistern</x:v>
      </x:c>
      <x:c r="D24" s="23" t="str"/>
      <x:c r="E24" s="17" t="str">
        <x:v>Older traveler in ordinary travel clothing; no new narrative subplot.</x:v>
      </x:c>
      <x:c r="F24" s="17" t="str">
        <x:v>Dusty but able to drink and continue journey.</x:v>
      </x:c>
      <x:c r="G24" s="17" t="str">
        <x:v>PS-S08</x:v>
      </x:c>
      <x:c r="H24" s="17" t="str">
        <x:v>Face front, three-quarter and profile; full body front/back; stable identity details.</x:v>
      </x:c>
      <x:c r="I24" s="24" t="str">
        <x:v>Pending</x:v>
      </x:c>
      <x:c r="J24" s="24" t="str"/>
      <x:c r="K24" s="26" t="n">
        <x:f>COUNTIFS('Scene Links'!$B$7:$B$545,A24)</x:f>
        <x:v>1</x:v>
      </x:c>
    </x:row>
    <x:row r="25" ht="24" hidden="0" customHeight="1">
      <x:c r="A25" s="22" t="str">
        <x:v>PS-EXT-MARKET</x:v>
      </x:c>
      <x:c r="B25" s="22" t="str">
        <x:v>Extras</x:v>
      </x:c>
      <x:c r="C25" s="18" t="str">
        <x:v>Foreign market workers and buyers</x:v>
      </x:c>
      <x:c r="D25" s="22" t="str"/>
      <x:c r="E25" s="18" t="str">
        <x:v>Mixed local urban adults, sack carriers, cloth seller, cloth trader and jar merchant. Distinct occupations without caricature.</x:v>
      </x:c>
      <x:c r="F25" s="18" t="str">
        <x:v>Crowded trade S9; quieter transaction S12; depleted market S13.</x:v>
      </x:c>
      <x:c r="G25" s="18" t="str">
        <x:v>PS-S09, PS-S12, PS-S13</x:v>
      </x:c>
      <x:c r="H25" s="18" t="str">
        <x:v>Ensemble face mix, full-body costume mix and role grouping; recurring individual references where reused.</x:v>
      </x:c>
      <x:c r="I25" s="24" t="str">
        <x:v>Pending</x:v>
      </x:c>
      <x:c r="J25" s="24" t="str"/>
      <x:c r="K25" s="25" t="n">
        <x:f>COUNTIFS('Scene Links'!$B$7:$B$545,A25)</x:f>
        <x:v>3</x:v>
      </x:c>
    </x:row>
    <x:row r="26" ht="24" hidden="0" customHeight="1">
      <x:c r="A26" s="23" t="str">
        <x:v>PS-EXT-CHILD</x:v>
      </x:c>
      <x:c r="B26" s="23" t="str">
        <x:v>Featured extra</x:v>
      </x:c>
      <x:c r="C26" s="17" t="str">
        <x:v>Child at bread stall</x:v>
      </x:c>
      <x:c r="D26" s="23" t="str"/>
      <x:c r="E26" s="17" t="str">
        <x:v>Same child at bread stall for visual continuity. Natural age and scale; clothing becomes more worn through famine.</x:v>
      </x:c>
      <x:c r="F26" s="17" t="str">
        <x:v>S9 waits for reserved heel. S13 thin, receives part of Damon’s bread.</x:v>
      </x:c>
      <x:c r="G26" s="17" t="str">
        <x:v>PS-S09, PS-S13</x:v>
      </x:c>
      <x:c r="H26" s="17" t="str">
        <x:v>Face front, three-quarter and profile; full body front/back; stable identity details.</x:v>
      </x:c>
      <x:c r="I26" s="24" t="str">
        <x:v>Pending</x:v>
      </x:c>
      <x:c r="J26" s="24" t="str"/>
      <x:c r="K26" s="26" t="n">
        <x:f>COUNTIFS('Scene Links'!$B$7:$B$545,A26)</x:f>
        <x:v>2</x:v>
      </x:c>
    </x:row>
    <x:row r="27" ht="24" hidden="0" customHeight="1">
      <x:c r="A27" s="22" t="str">
        <x:v>PS-EXT-GUESTS</x:v>
      </x:c>
      <x:c r="B27" s="22" t="str">
        <x:v>Extras</x:v>
      </x:c>
      <x:c r="C27" s="18" t="str">
        <x:v>Foreign companions and serving woman</x:v>
      </x:c>
      <x:c r="D27" s="22" t="str"/>
      <x:c r="E27" s="18" t="str">
        <x:v>Small recurring social group and working serving woman, fully clothed in plausible local dress.</x:v>
      </x:c>
      <x:c r="F27" s="18" t="str">
        <x:v>Larger welcome S9–10; smaller group S12. Avoid confirming elder’s later accusation with invented sex scenes.</x:v>
      </x:c>
      <x:c r="G27" s="18" t="str">
        <x:v>PS-S09, PS-S10, PS-S12</x:v>
      </x:c>
      <x:c r="H27" s="18" t="str">
        <x:v>Ensemble face mix, full-body costume mix and role grouping; recurring individual references where reused.</x:v>
      </x:c>
      <x:c r="I27" s="24" t="str">
        <x:v>Pending</x:v>
      </x:c>
      <x:c r="J27" s="24" t="str"/>
      <x:c r="K27" s="25" t="n">
        <x:f>COUNTIFS('Scene Links'!$B$7:$B$545,A27)</x:f>
        <x:v>3</x:v>
      </x:c>
    </x:row>
    <x:row r="28" ht="24" hidden="0" customHeight="1">
      <x:c r="A28" s="23" t="str">
        <x:v>PS-EXT-FOREIGNMUS</x:v>
      </x:c>
      <x:c r="B28" s="23" t="str">
        <x:v>Extras</x:v>
      </x:c>
      <x:c r="C28" s="17" t="str">
        <x:v>Foreign pipe player and drummer</x:v>
      </x:c>
      <x:c r="D28" s="23" t="str"/>
      <x:c r="E28" s="17" t="str">
        <x:v>Two modest working musicians with period-plausible costume and performance posture.</x:v>
      </x:c>
      <x:c r="F28" s="17" t="str">
        <x:v>One pipe player and one hand drummer; no modern instruments.</x:v>
      </x:c>
      <x:c r="G28" s="17" t="str">
        <x:v>PS-S10</x:v>
      </x:c>
      <x:c r="H28" s="17" t="str">
        <x:v>Ensemble face mix, full-body costume mix and role grouping; recurring individual references where reused.</x:v>
      </x:c>
      <x:c r="I28" s="24" t="str">
        <x:v>Pending</x:v>
      </x:c>
      <x:c r="J28" s="24" t="str"/>
      <x:c r="K28" s="26" t="n">
        <x:f>COUNTIFS('Scene Links'!$B$7:$B$545,A28)</x:f>
        <x:v>1</x:v>
      </x:c>
    </x:row>
    <x:row r="29" ht="24" hidden="0" customHeight="1">
      <x:c r="A29" s="22" t="str">
        <x:v>PS-EXT-FAMINEFAMILY</x:v>
      </x:c>
      <x:c r="B29" s="22" t="str">
        <x:v>Extras</x:v>
      </x:c>
      <x:c r="C29" s="18" t="str">
        <x:v>Famine-displaced family</x:v>
      </x:c>
      <x:c r="D29" s="22" t="str"/>
      <x:c r="E29" s="18" t="str">
        <x:v>Family loading household bundles onto a hand-dragged sledge. Practical regional clothes and belongings.</x:v>
      </x:c>
      <x:c r="F29" s="18" t="str">
        <x:v>Visible fatigue and scarcity without sensational staging.</x:v>
      </x:c>
      <x:c r="G29" s="18" t="str">
        <x:v>PS-S13</x:v>
      </x:c>
      <x:c r="H29" s="18" t="str">
        <x:v>Ensemble face mix, full-body costume mix and role grouping; recurring individual references where reused.</x:v>
      </x:c>
      <x:c r="I29" s="24" t="str">
        <x:v>Pending</x:v>
      </x:c>
      <x:c r="J29" s="24" t="str"/>
      <x:c r="K29" s="25" t="n">
        <x:f>COUNTIFS('Scene Links'!$B$7:$B$545,A29)</x:f>
        <x:v>1</x:v>
      </x:c>
    </x:row>
    <x:row r="30" ht="24" hidden="0" customHeight="1">
      <x:c r="A30" s="23" t="str">
        <x:v>PS-EXT-FARMHOUSE</x:v>
      </x:c>
      <x:c r="B30" s="23" t="str">
        <x:v>Extras</x:v>
      </x:c>
      <x:c r="C30" s="17" t="str">
        <x:v>Foreign farmer’s household</x:v>
      </x:c>
      <x:c r="D30" s="23" t="str"/>
      <x:c r="E30" s="17" t="str">
        <x:v>Small household visible receiving food beyond enclosure boundary. Ordinary people, no cruelty pageant.</x:v>
      </x:c>
      <x:c r="F30" s="17" t="str">
        <x:v>Food bowls pass hand to hand before door closes.</x:v>
      </x:c>
      <x:c r="G30" s="17" t="str">
        <x:v>PS-S15</x:v>
      </x:c>
      <x:c r="H30" s="17" t="str">
        <x:v>Ensemble face mix, full-body costume mix and role grouping; recurring individual references where reused.</x:v>
      </x:c>
      <x:c r="I30" s="24" t="str">
        <x:v>Pending</x:v>
      </x:c>
      <x:c r="J30" s="24" t="str"/>
      <x:c r="K30" s="26" t="n">
        <x:f>COUNTIFS('Scene Links'!$B$7:$B$545,A30)</x:f>
        <x:v>1</x:v>
      </x:c>
    </x:row>
    <x:row r="31" ht="24" hidden="0" customHeight="1">
      <x:c r="A31" s="22" t="str">
        <x:v>PS-EXT-ROADTRADE</x:v>
      </x:c>
      <x:c r="B31" s="22" t="str">
        <x:v>Featured extra</x:v>
      </x:c>
      <x:c r="C31" s="18" t="str">
        <x:v>Roadside food trader</x:v>
      </x:c>
      <x:c r="D31" s="22" t="str"/>
      <x:c r="E31" s="18" t="str">
        <x:v>Traveler or shelter occupant accepting a worn mantle in exchange for a little food. Unnamed role.</x:v>
      </x:c>
      <x:c r="F31" s="18" t="str">
        <x:v>Short exchange only; no invented merchant backstory.</x:v>
      </x:c>
      <x:c r="G31" s="18" t="str">
        <x:v>PS-S17</x:v>
      </x:c>
      <x:c r="H31" s="18" t="str">
        <x:v>Face front, three-quarter and profile; full body front/back; stable identity details.</x:v>
      </x:c>
      <x:c r="I31" s="24" t="str">
        <x:v>Pending</x:v>
      </x:c>
      <x:c r="J31" s="24" t="str"/>
      <x:c r="K31" s="25" t="n">
        <x:f>COUNTIFS('Scene Links'!$B$7:$B$545,A31)</x:f>
        <x:v>1</x:v>
      </x:c>
    </x:row>
    <x:row r="32" ht="24" hidden="0" customHeight="1">
      <x:c r="A32" s="23" t="str">
        <x:v>PS-EXT-DONKEYDRIVER</x:v>
      </x:c>
      <x:c r="B32" s="23" t="str">
        <x:v>Featured extra</x:v>
      </x:c>
      <x:c r="C32" s="17" t="str">
        <x:v>Passing donkey driver</x:v>
      </x:c>
      <x:c r="D32" s="23" t="str"/>
      <x:c r="E32" s="17" t="str">
        <x:v>Ordinary driver on homeward road; distinguish from the two recurring carriers.</x:v>
      </x:c>
      <x:c r="F32" s="17" t="str">
        <x:v>Looks at younger and keeps moving.</x:v>
      </x:c>
      <x:c r="G32" s="17" t="str">
        <x:v>PS-S17</x:v>
      </x:c>
      <x:c r="H32" s="17" t="str">
        <x:v>Face front, three-quarter and profile; full body front/back; stable identity details.</x:v>
      </x:c>
      <x:c r="I32" s="24" t="str">
        <x:v>Pending</x:v>
      </x:c>
      <x:c r="J32" s="24" t="str"/>
      <x:c r="K32" s="26" t="n">
        <x:f>COUNTIFS('Scene Links'!$B$7:$B$545,A32)</x:f>
        <x:v>1</x:v>
      </x:c>
    </x:row>
    <x:row r="33" ht="24" hidden="0" customHeight="1">
      <x:c r="A33" s="22" t="str">
        <x:v>PS-EXT-FEAST</x:v>
      </x:c>
      <x:c r="B33" s="22" t="str">
        <x:v>Extras</x:v>
      </x:c>
      <x:c r="C33" s="18" t="str">
        <x:v>Neighbors at homecoming feast</x:v>
      </x:c>
      <x:c r="D33" s="22" t="str"/>
      <x:c r="E33" s="18" t="str">
        <x:v>Local neighbors bring bowls and seating; varied age, build and appropriate Judean attire.</x:v>
      </x:c>
      <x:c r="F33" s="18" t="str">
        <x:v>Natural dancing, eating and reactions continue across homecoming evening.</x:v>
      </x:c>
      <x:c r="G33" s="18" t="str">
        <x:v>PS-S19, PS-S20, PS-S21, PS-S22</x:v>
      </x:c>
      <x:c r="H33" s="18" t="str">
        <x:v>Ensemble face mix, full-body costume mix and role grouping; recurring individual references where reused.</x:v>
      </x:c>
      <x:c r="I33" s="24" t="str">
        <x:v>Pending</x:v>
      </x:c>
      <x:c r="J33" s="24" t="str"/>
      <x:c r="K33" s="25" t="n">
        <x:f>COUNTIFS('Scene Links'!$B$7:$B$545,A33)</x:f>
        <x:v>4</x:v>
      </x:c>
    </x:row>
    <x:row r="34" ht="24" hidden="0" customHeight="1">
      <x:c r="A34" s="23" t="str">
        <x:v>PS-EXT-HOMEMUS</x:v>
      </x:c>
      <x:c r="B34" s="23" t="str">
        <x:v>Extras</x:v>
      </x:c>
      <x:c r="C34" s="17" t="str">
        <x:v>Home feast pipe player and drummer</x:v>
      </x:c>
      <x:c r="D34" s="23" t="str"/>
      <x:c r="E34" s="17" t="str">
        <x:v>Two local musicians with modest clothes and natural performance posture.</x:v>
      </x:c>
      <x:c r="F34" s="17" t="str">
        <x:v>Same pair and instrument placement across continuous feast scenes.</x:v>
      </x:c>
      <x:c r="G34" s="17" t="str">
        <x:v>PS-S19, PS-S20, PS-S21, PS-S22</x:v>
      </x:c>
      <x:c r="H34" s="17" t="str">
        <x:v>Ensemble face mix, full-body costume mix and role grouping; recurring individual references where reused.</x:v>
      </x:c>
      <x:c r="I34" s="24" t="str">
        <x:v>Pending</x:v>
      </x:c>
      <x:c r="J34" s="24" t="str"/>
      <x:c r="K34" s="26" t="n">
        <x:f>COUNTIFS('Scene Links'!$B$7:$B$545,A34)</x:f>
        <x:v>4</x:v>
      </x:c>
    </x:row>
    <x:row r="35" ht="24" hidden="0" customHeight="1">
      <x:c r="A35" s="22" t="str">
        <x:v>PS-ANM-PACKDONKEY</x:v>
      </x:c>
      <x:c r="B35" s="22" t="str">
        <x:v>Animal</x:v>
      </x:c>
      <x:c r="C35" s="18" t="str">
        <x:v>Carriers’ pack donkey</x:v>
      </x:c>
      <x:c r="D35" s="22" t="str"/>
      <x:c r="E35" s="18" t="str">
        <x:v>One recurring domestic donkey with stable coat pattern, proportions and plain pack tack.</x:v>
      </x:c>
      <x:c r="F35" s="18" t="str">
        <x:v>Same animal and tack from arrival through outgoing road journey.</x:v>
      </x:c>
      <x:c r="G35" s="18" t="str">
        <x:v>PS-S02, PS-S03, PS-S07, PS-S08</x:v>
      </x:c>
      <x:c r="H35" s="18" t="str">
        <x:v>Animal front and side; coat-marking detail; human scale comparison; tack where applicable.</x:v>
      </x:c>
      <x:c r="I35" s="24" t="str">
        <x:v>Pending</x:v>
      </x:c>
      <x:c r="J35" s="24" t="str"/>
      <x:c r="K35" s="25" t="n">
        <x:f>COUNTIFS('Scene Links'!$B$7:$B$545,A35)</x:f>
        <x:v>4</x:v>
      </x:c>
    </x:row>
    <x:row r="36" ht="24" hidden="0" customHeight="1">
      <x:c r="A36" s="23" t="str">
        <x:v>PS-ANM-CATTLE</x:v>
      </x:c>
      <x:c r="B36" s="23" t="str">
        <x:v>Animal</x:v>
      </x:c>
      <x:c r="C36" s="17" t="str">
        <x:v>Household cattle</x:v>
      </x:c>
      <x:c r="D36" s="23" t="str"/>
      <x:c r="E36" s="17" t="str">
        <x:v>Small domestic cattle group in farm pen. Distinguish cattle from separately identified fattened calf.</x:v>
      </x:c>
      <x:c r="F36" s="17" t="str">
        <x:v>Only cattle at observant home farm; animals settle at night.</x:v>
      </x:c>
      <x:c r="G36" s="17" t="str">
        <x:v>PS-S03, PS-S05, PS-S14, PS-S19</x:v>
      </x:c>
      <x:c r="H36" s="17" t="str">
        <x:v>Animal front and side; coat-marking detail; human scale comparison; tack where applicable.</x:v>
      </x:c>
      <x:c r="I36" s="24" t="str">
        <x:v>Pending</x:v>
      </x:c>
      <x:c r="J36" s="24" t="str"/>
      <x:c r="K36" s="26" t="n">
        <x:f>COUNTIFS('Scene Links'!$B$7:$B$545,A36)</x:f>
        <x:v>4</x:v>
      </x:c>
    </x:row>
    <x:row r="37" ht="24" hidden="0" customHeight="1">
      <x:c r="A37" s="22" t="str">
        <x:v>PS-ANM-CALF</x:v>
      </x:c>
      <x:c r="B37" s="22" t="str">
        <x:v>Animal</x:v>
      </x:c>
      <x:c r="C37" s="18" t="str">
        <x:v>Fattened calf</x:v>
      </x:c>
      <x:c r="D37" s="22" t="str"/>
      <x:c r="E37" s="18" t="str">
        <x:v>Domestic calf prepared for special celebration. Stable coat markings while alive.</x:v>
      </x:c>
      <x:c r="F37" s="18" t="str">
        <x:v>Alive when led out; slaughter offscreen; no live calf later in feast continuity.</x:v>
      </x:c>
      <x:c r="G37" s="18" t="str">
        <x:v>PS-S19</x:v>
      </x:c>
      <x:c r="H37" s="18" t="str">
        <x:v>Animal front and side; coat-marking detail; human scale comparison; tack where applicable.</x:v>
      </x:c>
      <x:c r="I37" s="24" t="str">
        <x:v>Pending</x:v>
      </x:c>
      <x:c r="J37" s="24" t="str"/>
      <x:c r="K37" s="25" t="n">
        <x:f>COUNTIFS('Scene Links'!$B$7:$B$545,A37)</x:f>
        <x:v>1</x:v>
      </x:c>
    </x:row>
    <x:row r="38" ht="24" hidden="0" customHeight="1">
      <x:c r="A38" s="23" t="str">
        <x:v>PS-ANM-PIGS</x:v>
      </x:c>
      <x:c r="B38" s="23" t="str">
        <x:v>Animal</x:v>
      </x:c>
      <x:c r="C38" s="17" t="str">
        <x:v>Foreign farm domestic pigs</x:v>
      </x:c>
      <x:c r="D38" s="23" t="str"/>
      <x:c r="E38" s="17" t="str">
        <x:v>Several domestic pigs of realistic preindustrial type, with stable size and markings.</x:v>
      </x:c>
      <x:c r="F38" s="17" t="str">
        <x:v>Only at foreign farm; dust/mud appropriate to feed enclosure.</x:v>
      </x:c>
      <x:c r="G38" s="17" t="str">
        <x:v>PS-S15</x:v>
      </x:c>
      <x:c r="H38" s="17" t="str">
        <x:v>Animal front and side; coat-marking detail; human scale comparison; tack where applicable.</x:v>
      </x:c>
      <x:c r="I38" s="24" t="str">
        <x:v>Pending</x:v>
      </x:c>
      <x:c r="J38" s="24" t="str"/>
      <x:c r="K38" s="26" t="n">
        <x:f>COUNTIFS('Scene Links'!$B$7:$B$545,A38)</x:f>
        <x:v>1</x:v>
      </x:c>
    </x:row>
    <x:row r="39" ht="24" hidden="0" customHeight="1">
      <x:c r="A39" s="22" t="str">
        <x:v>PS-ANM-PASSDONKEY</x:v>
      </x:c>
      <x:c r="B39" s="22" t="str">
        <x:v>Animal</x:v>
      </x:c>
      <x:c r="C39" s="18" t="str">
        <x:v>Passing road donkey</x:v>
      </x:c>
      <x:c r="D39" s="22" t="str"/>
      <x:c r="E39" s="18" t="str">
        <x:v>Ordinary donkey with simple driver tack. Distinct continuity from carriers’ animal.</x:v>
      </x:c>
      <x:c r="F39" s="18" t="str">
        <x:v>Passes once during return journey.</x:v>
      </x:c>
      <x:c r="G39" s="18" t="str">
        <x:v>PS-S17</x:v>
      </x:c>
      <x:c r="H39" s="18" t="str">
        <x:v>Animal front and side; coat-marking detail; human scale comparison; tack where applicable.</x:v>
      </x:c>
      <x:c r="I39" s="24" t="str">
        <x:v>Pending</x:v>
      </x:c>
      <x:c r="J39" s="24" t="str"/>
      <x:c r="K39" s="25" t="n">
        <x:f>COUNTIFS('Scene Links'!$B$7:$B$545,A39)</x:f>
        <x:v>1</x:v>
      </x:c>
    </x:row>
    <x:row r="40" ht="24" hidden="0" customHeight="1">
      <x:c r="A40" s="23" t="str">
        <x:v>PS-LOC-HILLSIDE</x:v>
      </x:c>
      <x:c r="B40" s="23" t="str">
        <x:v>Location</x:v>
      </x:c>
      <x:c r="C40" s="17" t="str">
        <x:v>Judean teaching hillside</x:v>
      </x:c>
      <x:c r="D40" s="23" t="str"/>
      <x:c r="E40" s="17" t="str">
        <x:v>Pale sky, broad slope, olive shade and passing road. Conservative fictional geography.</x:v>
      </x:c>
      <x:c r="F40" s="17" t="str">
        <x:v>Day. Never label it the Sermon on the Mount as historical fact.</x:v>
      </x:c>
      <x:c r="G40" s="17" t="str">
        <x:v>PS-S01</x:v>
      </x:c>
      <x:c r="H40" s="17" t="str">
        <x:v>Establishing reference, reverse direction and simple spatial layout; each required dressing/daylight state.</x:v>
      </x:c>
      <x:c r="I40" s="24" t="str">
        <x:v>Pending</x:v>
      </x:c>
      <x:c r="J40" s="24" t="str"/>
      <x:c r="K40" s="26" t="n">
        <x:f>COUNTIFS('Scene Links'!$B$7:$B$545,A40)</x:f>
        <x:v>1</x:v>
      </x:c>
    </x:row>
    <x:row r="41" ht="24" hidden="0" customHeight="1">
      <x:c r="A41" s="22" t="str">
        <x:v>PS-LOC-HOMESTEAD</x:v>
      </x:c>
      <x:c r="B41" s="22" t="str">
        <x:v>Location</x:v>
      </x:c>
      <x:c r="C41" s="18" t="str">
        <x:v>Family farm geography</x:v>
      </x:c>
      <x:c r="D41" s="22" t="str"/>
      <x:c r="E41" s="18" t="str">
        <x:v>Coherent prosperous rural layout: barley stubble below olive slope, upper retaining wall, road, courtyard, kitchen/store and livestock pen.</x:v>
      </x:c>
      <x:c r="F41" s="18" t="str">
        <x:v>Late-spring stubble and subsequent dry-season passage; no simultaneous incompatible harvests.</x:v>
      </x:c>
      <x:c r="G41" s="18" t="str">
        <x:v>PS-S02, PS-S03, PS-S06, PS-S07, PS-S11, PS-S14, PS-S16, PS-S17, PS-S18, PS-S19, PS-S20, PS-S21, PS-S22</x:v>
      </x:c>
      <x:c r="H41" s="18" t="str">
        <x:v>Establishing reference, reverse direction and simple spatial layout; each required dressing/daylight state.</x:v>
      </x:c>
      <x:c r="I41" s="24" t="str">
        <x:v>Pending</x:v>
      </x:c>
      <x:c r="J41" s="24" t="str"/>
      <x:c r="K41" s="25" t="n">
        <x:f>COUNTIFS('Scene Links'!$B$7:$B$545,A41)</x:f>
        <x:v>13</x:v>
      </x:c>
    </x:row>
    <x:row r="42" ht="36" hidden="0" customHeight="1">
      <x:c r="A42" s="23" t="str">
        <x:v>PS-LOC-TERRACE</x:v>
      </x:c>
      <x:c r="B42" s="23" t="str">
        <x:v>Location</x:v>
      </x:c>
      <x:c r="C42" s="17" t="str">
        <x:v>Upper terrace and retaining wall</x:v>
      </x:c>
      <x:c r="D42" s="23" t="str">
        <x:v>PS-LOC-HOMESTEAD</x:v>
      </x:c>
      <x:c r="E42" s="17" t="str">
        <x:v>Fieldstone retaining wall above barley stubble and olive slope. Continuous route down to courtyard.</x:v>
      </x:c>
      <x:c r="F42" s="17" t="str">
        <x:v>S2 long slump; S6 repair; S11 partly complete; S16 short unfinished run. S15 repeats S2.</x:v>
      </x:c>
      <x:c r="G42" s="17" t="str">
        <x:v>PS-S02, PS-S06, PS-S11, PS-S15, PS-S16, PS-S19, PS-S20</x:v>
      </x:c>
      <x:c r="H42" s="17" t="str">
        <x:v>Establishing reference, reverse direction and simple spatial layout; each required dressing/daylight state. Match approved PS-LOC-HOMESTEAD.</x:v>
      </x:c>
      <x:c r="I42" s="24" t="str">
        <x:v>Pending</x:v>
      </x:c>
      <x:c r="J42" s="24" t="str"/>
      <x:c r="K42" s="26" t="n">
        <x:f>COUNTIFS('Scene Links'!$B$7:$B$545,A42)</x:f>
        <x:v>7</x:v>
      </x:c>
    </x:row>
    <x:row r="43" ht="36" hidden="0" customHeight="1">
      <x:c r="A43" s="22" t="str">
        <x:v>PS-LOC-COURTYARD</x:v>
      </x:c>
      <x:c r="B43" s="22" t="str">
        <x:v>Location</x:v>
      </x:c>
      <x:c r="C43" s="18" t="str">
        <x:v>Working family courtyard</x:v>
      </x:c>
      <x:c r="D43" s="22" t="str">
        <x:v>PS-LOC-HOMESTEAD</x:v>
      </x:c>
      <x:c r="E43" s="18" t="str">
        <x:v>Stone/plaster working yard, awning, grain storage, water vessels, adjacent cattle pen and visible entrance road.</x:v>
      </x:c>
      <x:c r="F43" s="18" t="str">
        <x:v>Ordinary working layout before feast. Same doors, surfaces and proportions.</x:v>
      </x:c>
      <x:c r="G43" s="18" t="str">
        <x:v>PS-S03, PS-S04, PS-S06, PS-S07, PS-S11, PS-S14, PS-S18, PS-S19</x:v>
      </x:c>
      <x:c r="H43" s="18" t="str">
        <x:v>Establishing reference, reverse direction and simple spatial layout; each required dressing/daylight state. Match approved PS-LOC-HOMESTEAD.</x:v>
      </x:c>
      <x:c r="I43" s="24" t="str">
        <x:v>Pending</x:v>
      </x:c>
      <x:c r="J43" s="24" t="str"/>
      <x:c r="K43" s="25" t="n">
        <x:f>COUNTIFS('Scene Links'!$B$7:$B$545,A43)</x:f>
        <x:v>8</x:v>
      </x:c>
    </x:row>
    <x:row r="44" ht="36" hidden="0" customHeight="1">
      <x:c r="A44" s="23" t="str">
        <x:v>PS-LOC-ENTRANCE</x:v>
      </x:c>
      <x:c r="B44" s="23" t="str">
        <x:v>Location</x:v>
      </x:c>
      <x:c r="C44" s="17" t="str">
        <x:v>Courtyard threshold and road entrance</x:v>
      </x:c>
      <x:c r="D44" s="23" t="str">
        <x:v>PS-LOC-HOMESTEAD</x:v>
      </x:c>
      <x:c r="E44" s="17" t="str">
        <x:v>Stable doorway, doorpost and stone threshold connecting courtyard to road; table sightline from outside.</x:v>
      </x:c>
      <x:c r="F44" s="17" t="str">
        <x:v>Night and dusk states retain geography. Doorway clear for unresolved invitation.</x:v>
      </x:c>
      <x:c r="G44" s="17" t="str">
        <x:v>PS-S03, PS-S04, PS-S05, PS-S07, PS-S11, PS-S18, PS-S19, PS-S20, PS-S21, PS-S22</x:v>
      </x:c>
      <x:c r="H44" s="17" t="str">
        <x:v>Establishing reference, reverse direction and simple spatial layout; each required dressing/daylight state. Match approved PS-LOC-HOMESTEAD.</x:v>
      </x:c>
      <x:c r="I44" s="24" t="str">
        <x:v>Pending</x:v>
      </x:c>
      <x:c r="J44" s="24" t="str"/>
      <x:c r="K44" s="26" t="n">
        <x:f>COUNTIFS('Scene Links'!$B$7:$B$545,A44)</x:f>
        <x:v>10</x:v>
      </x:c>
    </x:row>
    <x:row r="45" ht="36" hidden="0" customHeight="1">
      <x:c r="A45" s="22" t="str">
        <x:v>PS-LOC-SUPPER</x:v>
      </x:c>
      <x:c r="B45" s="22" t="str">
        <x:v>Location</x:v>
      </x:c>
      <x:c r="C45" s="18" t="str">
        <x:v>Family supper room</x:v>
      </x:c>
      <x:c r="D45" s="22" t="str">
        <x:v>PS-LOC-HOMESTEAD</x:v>
      </x:c>
      <x:c r="E45" s="18" t="str">
        <x:v>Modest room adjoining working courtyard. Low wooden table and localized oil-lamp illumination.</x:v>
      </x:c>
      <x:c r="F45" s="18" t="str">
        <x:v>S4 full supper; S5 father remains, one lamp out; S15 memory matches S4.</x:v>
      </x:c>
      <x:c r="G45" s="18" t="str">
        <x:v>PS-S04, PS-S05, PS-S15</x:v>
      </x:c>
      <x:c r="H45" s="18" t="str">
        <x:v>Establishing reference, reverse direction and simple spatial layout; each required dressing/daylight state. Match approved PS-LOC-HOMESTEAD.</x:v>
      </x:c>
      <x:c r="I45" s="24" t="str">
        <x:v>Pending</x:v>
      </x:c>
      <x:c r="J45" s="24" t="str"/>
      <x:c r="K45" s="25" t="n">
        <x:f>COUNTIFS('Scene Links'!$B$7:$B$545,A45)</x:f>
        <x:v>3</x:v>
      </x:c>
    </x:row>
    <x:row r="46" ht="36" hidden="0" customHeight="1">
      <x:c r="A46" s="23" t="str">
        <x:v>PS-LOC-STORE</x:v>
      </x:c>
      <x:c r="B46" s="23" t="str">
        <x:v>Location</x:v>
      </x:c>
      <x:c r="C46" s="17" t="str">
        <x:v>Family store room</x:v>
      </x:c>
      <x:c r="D46" s="23" t="str">
        <x:v>PS-LOC-HOMESTEAD</x:v>
      </x:c>
      <x:c r="E46" s="17" t="str">
        <x:v>Practical dry storage, jars, baskets and small table for written division. No palace treasury.</x:v>
      </x:c>
      <x:c r="F46" s="17" t="str">
        <x:v>S6 accounting arrangement; S14 work and grain-spill configuration.</x:v>
      </x:c>
      <x:c r="G46" s="17" t="str">
        <x:v>PS-S06, PS-S14</x:v>
      </x:c>
      <x:c r="H46" s="17" t="str">
        <x:v>Establishing reference, reverse direction and simple spatial layout; each required dressing/daylight state. Match approved PS-LOC-HOMESTEAD.</x:v>
      </x:c>
      <x:c r="I46" s="24" t="str">
        <x:v>Pending</x:v>
      </x:c>
      <x:c r="J46" s="24" t="str"/>
      <x:c r="K46" s="26" t="n">
        <x:f>COUNTIFS('Scene Links'!$B$7:$B$545,A46)</x:f>
        <x:v>2</x:v>
      </x:c>
    </x:row>
    <x:row r="47" ht="36" hidden="0" customHeight="1">
      <x:c r="A47" s="22" t="str">
        <x:v>PS-LOC-CISTERN</x:v>
      </x:c>
      <x:c r="B47" s="22" t="str">
        <x:v>Location</x:v>
      </x:c>
      <x:c r="C47" s="18" t="str">
        <x:v>Farm cistern and washing point</x:v>
      </x:c>
      <x:c r="D47" s="22" t="str">
        <x:v>PS-LOC-HOMESTEAD</x:v>
      </x:c>
      <x:c r="E47" s="18" t="str">
        <x:v>Farm water-storage point, rope, raised jar and washing bowl positioned plausibly.</x:v>
      </x:c>
      <x:c r="F47" s="18" t="str">
        <x:v>Same dry-season stone and household geography.</x:v>
      </x:c>
      <x:c r="G47" s="18" t="str">
        <x:v>PS-S14</x:v>
      </x:c>
      <x:c r="H47" s="18" t="str">
        <x:v>Establishing reference, reverse direction and simple spatial layout; each required dressing/daylight state. Match approved PS-LOC-HOMESTEAD.</x:v>
      </x:c>
      <x:c r="I47" s="24" t="str">
        <x:v>Pending</x:v>
      </x:c>
      <x:c r="J47" s="24" t="str"/>
      <x:c r="K47" s="25" t="n">
        <x:f>COUNTIFS('Scene Links'!$B$7:$B$545,A47)</x:f>
        <x:v>1</x:v>
      </x:c>
    </x:row>
    <x:row r="48" ht="36" hidden="0" customHeight="1">
      <x:c r="A48" s="23" t="str">
        <x:v>PS-LOC-PEN</x:v>
      </x:c>
      <x:c r="B48" s="23" t="str">
        <x:v>Location</x:v>
      </x:c>
      <x:c r="C48" s="17" t="str">
        <x:v>Home cattle pen</x:v>
      </x:c>
      <x:c r="D48" s="23" t="str">
        <x:v>PS-LOC-HOMESTEAD</x:v>
      </x:c>
      <x:c r="E48" s="17" t="str">
        <x:v>Practical pen adjacent to courtyard, sized for real domestic cattle and calf.</x:v>
      </x:c>
      <x:c r="F48" s="17" t="str">
        <x:v>Calf leaves during S19. No pigs.</x:v>
      </x:c>
      <x:c r="G48" s="17" t="str">
        <x:v>PS-S03, PS-S05, PS-S14, PS-S19</x:v>
      </x:c>
      <x:c r="H48" s="17" t="str">
        <x:v>Establishing reference, reverse direction and simple spatial layout; each required dressing/daylight state. Match approved PS-LOC-HOMESTEAD.</x:v>
      </x:c>
      <x:c r="I48" s="24" t="str">
        <x:v>Pending</x:v>
      </x:c>
      <x:c r="J48" s="24" t="str"/>
      <x:c r="K48" s="26" t="n">
        <x:f>COUNTIFS('Scene Links'!$B$7:$B$545,A48)</x:f>
        <x:v>4</x:v>
      </x:c>
    </x:row>
    <x:row r="49" ht="36" hidden="0" customHeight="1">
      <x:c r="A49" s="22" t="str">
        <x:v>PS-LOC-FEAST</x:v>
      </x:c>
      <x:c r="B49" s="22" t="str">
        <x:v>Location state</x:v>
      </x:c>
      <x:c r="C49" s="18" t="str">
        <x:v>Courtyard dressed for feast</x:v>
      </x:c>
      <x:c r="D49" s="22" t="str">
        <x:v>PS-LOC-COURTYARD</x:v>
      </x:c>
      <x:c r="E49" s="18" t="str">
        <x:v>Same yard with cooking work, low tables/benches, neighbors’ seating, oil lamps and modest musician positions.</x:v>
      </x:c>
      <x:c r="F49" s="18" t="str">
        <x:v>S19 mid-afternoon to dusk with several hours of preparation compressed; S20 dusk; S21–22 night. Keep entrance, elder’s empty place and table sightline fixed.</x:v>
      </x:c>
      <x:c r="G49" s="18" t="str">
        <x:v>PS-S19, PS-S20, PS-S21, PS-S22</x:v>
      </x:c>
      <x:c r="H49" s="18" t="str">
        <x:v>Establishing reference, reverse direction and simple spatial layout; each required dressing/daylight state. Match approved PS-LOC-COURTYARD.</x:v>
      </x:c>
      <x:c r="I49" s="24" t="str">
        <x:v>Pending</x:v>
      </x:c>
      <x:c r="J49" s="24" t="str"/>
      <x:c r="K49" s="25" t="n">
        <x:f>COUNTIFS('Scene Links'!$B$7:$B$545,A49)</x:f>
        <x:v>4</x:v>
      </x:c>
    </x:row>
    <x:row r="50" ht="36" hidden="0" customHeight="1">
      <x:c r="A50" s="23" t="str">
        <x:v>PS-LOC-HOMEROAD</x:v>
      </x:c>
      <x:c r="B50" s="23" t="str">
        <x:v>Location</x:v>
      </x:c>
      <x:c r="C50" s="17" t="str">
        <x:v>Home road and field approach</x:v>
      </x:c>
      <x:c r="D50" s="23" t="str">
        <x:v>PS-LOC-HOMESTEAD</x:v>
      </x:c>
      <x:c r="E50" s="17" t="str">
        <x:v>Road bend and approach allowing farm to be seen at a distance, including stubble fields and ordinary entrance.</x:v>
      </x:c>
      <x:c r="F50" s="17" t="str">
        <x:v>S7 dawn departure; S17 day approach; S18 mid-afternoon recognition and embrace.</x:v>
      </x:c>
      <x:c r="G50" s="17" t="str">
        <x:v>PS-S02, PS-S07, PS-S17, PS-S18</x:v>
      </x:c>
      <x:c r="H50" s="17" t="str">
        <x:v>Establishing reference, reverse direction and simple spatial layout; each required dressing/daylight state. Match approved PS-LOC-HOMESTEAD.</x:v>
      </x:c>
      <x:c r="I50" s="24" t="str">
        <x:v>Pending</x:v>
      </x:c>
      <x:c r="J50" s="24" t="str"/>
      <x:c r="K50" s="26" t="n">
        <x:f>COUNTIFS('Scene Links'!$B$7:$B$545,A50)</x:f>
        <x:v>4</x:v>
      </x:c>
    </x:row>
    <x:row r="51" ht="24" hidden="0" customHeight="1">
      <x:c r="A51" s="22" t="str">
        <x:v>PS-LOC-JOURNEY</x:v>
      </x:c>
      <x:c r="B51" s="22" t="str">
        <x:v>Location</x:v>
      </x:c>
      <x:c r="C51" s="18" t="str">
        <x:v>Escarpment, ridge and road fork</x:v>
      </x:c>
      <x:c r="D51" s="22" t="str"/>
      <x:c r="E51" s="18" t="str">
        <x:v>Dry ravine, exposed ridge and fork: narrow road to home, broader road toward distant unnamed town.</x:v>
      </x:c>
      <x:c r="F51" s="18" t="str">
        <x:v>Match outgoing and return geography; signs or modern roads absent.</x:v>
      </x:c>
      <x:c r="G51" s="18" t="str">
        <x:v>PS-S08, PS-S17</x:v>
      </x:c>
      <x:c r="H51" s="18" t="str">
        <x:v>Establishing reference, reverse direction and simple spatial layout; each required dressing/daylight state.</x:v>
      </x:c>
      <x:c r="I51" s="24" t="str">
        <x:v>Pending</x:v>
      </x:c>
      <x:c r="J51" s="24" t="str"/>
      <x:c r="K51" s="25" t="n">
        <x:f>COUNTIFS('Scene Links'!$B$7:$B$545,A51)</x:f>
        <x:v>2</x:v>
      </x:c>
    </x:row>
    <x:row r="52" ht="24" hidden="0" customHeight="1">
      <x:c r="A52" s="23" t="str">
        <x:v>PS-LOC-ROADCISTERN</x:v>
      </x:c>
      <x:c r="B52" s="23" t="str">
        <x:v>Location</x:v>
      </x:c>
      <x:c r="C52" s="17" t="str">
        <x:v>Roadside cistern and resting place</x:v>
      </x:c>
      <x:c r="D52" s="23" t="str">
        <x:v>PS-LOC-JOURNEY</x:v>
      </x:c>
      <x:c r="E52" s="17" t="str">
        <x:v>A practical stopping place with water access and rough resting surface; no inn complex invented.</x:v>
      </x:c>
      <x:c r="F52" s="17" t="str">
        <x:v>S8 old traveler drinks. S17 return water, sandal discard and brief shelter exchange may use distinct nearby areas.</x:v>
      </x:c>
      <x:c r="G52" s="17" t="str">
        <x:v>PS-S08, PS-S17</x:v>
      </x:c>
      <x:c r="H52" s="17" t="str">
        <x:v>Establishing reference, reverse direction and simple spatial layout; each required dressing/daylight state. Match approved PS-LOC-JOURNEY.</x:v>
      </x:c>
      <x:c r="I52" s="24" t="str">
        <x:v>Pending</x:v>
      </x:c>
      <x:c r="J52" s="24" t="str"/>
      <x:c r="K52" s="26" t="n">
        <x:f>COUNTIFS('Scene Links'!$B$7:$B$545,A52)</x:f>
        <x:v>2</x:v>
      </x:c>
    </x:row>
    <x:row r="53" ht="24" hidden="0" customHeight="1">
      <x:c r="A53" s="22" t="str">
        <x:v>PS-LOC-TOWN</x:v>
      </x:c>
      <x:c r="B53" s="22" t="str">
        <x:v>Location</x:v>
      </x:c>
      <x:c r="C53" s="18" t="str">
        <x:v>Unnamed foreign town</x:v>
      </x:c>
      <x:c r="D53" s="22" t="str"/>
      <x:c r="E53" s="18" t="str">
        <x:v>Modest Hellenized settlement with mixed stone/plaster buildings, timber stalls and limited colonnade. No later imperial monuments.</x:v>
      </x:c>
      <x:c r="F53" s="18" t="str">
        <x:v>Distant town S8; lived-in trade S9–12; famine state S13.</x:v>
      </x:c>
      <x:c r="G53" s="18" t="str">
        <x:v>PS-S08, PS-S09, PS-S12, PS-S13</x:v>
      </x:c>
      <x:c r="H53" s="18" t="str">
        <x:v>Establishing reference, reverse direction and simple spatial layout; each required dressing/daylight state.</x:v>
      </x:c>
      <x:c r="I53" s="24" t="str">
        <x:v>Pending</x:v>
      </x:c>
      <x:c r="J53" s="24" t="str"/>
      <x:c r="K53" s="25" t="n">
        <x:f>COUNTIFS('Scene Links'!$B$7:$B$545,A53)</x:f>
        <x:v>4</x:v>
      </x:c>
    </x:row>
    <x:row r="54" ht="24" hidden="0" customHeight="1">
      <x:c r="A54" s="23" t="str">
        <x:v>PS-LOC-MARKET</x:v>
      </x:c>
      <x:c r="B54" s="23" t="str">
        <x:v>Location</x:v>
      </x:c>
      <x:c r="C54" s="17" t="str">
        <x:v>Foreign market street</x:v>
      </x:c>
      <x:c r="D54" s="23" t="str">
        <x:v>PS-LOC-TOWN</x:v>
      </x:c>
      <x:c r="E54" s="17" t="str">
        <x:v>Shade cloth, pottery, bread scale, cloth display, sacks and people moving between modest stalls.</x:v>
      </x:c>
      <x:c r="F54" s="17" t="str">
        <x:v>Full stock S9; garment sale S12; emptying awnings and small bread portions S13.</x:v>
      </x:c>
      <x:c r="G54" s="17" t="str">
        <x:v>PS-S09, PS-S12, PS-S13</x:v>
      </x:c>
      <x:c r="H54" s="17" t="str">
        <x:v>Establishing reference, reverse direction and simple spatial layout; each required dressing/daylight state. Match approved PS-LOC-TOWN.</x:v>
      </x:c>
      <x:c r="I54" s="24" t="str">
        <x:v>Pending</x:v>
      </x:c>
      <x:c r="J54" s="24" t="str"/>
      <x:c r="K54" s="26" t="n">
        <x:f>COUNTIFS('Scene Links'!$B$7:$B$545,A54)</x:f>
        <x:v>3</x:v>
      </x:c>
    </x:row>
    <x:row r="55" ht="24" hidden="0" customHeight="1">
      <x:c r="A55" s="22" t="str">
        <x:v>PS-LOC-RENTEDROOM</x:v>
      </x:c>
      <x:c r="B55" s="22" t="str">
        <x:v>Location</x:v>
      </x:c>
      <x:c r="C55" s="18" t="str">
        <x:v>Younger’s rented room</x:v>
      </x:c>
      <x:c r="D55" s="22" t="str">
        <x:v>PS-LOC-TOWN</x:v>
      </x:c>
      <x:c r="E55" s="18" t="str">
        <x:v>Plain mirrorless room with garment peg and place for bedding/coins.</x:v>
      </x:c>
      <x:c r="F55" s="18" t="str">
        <x:v>Russet mantle hangs S10 through removal S12. Room empties as younger leaves.</x:v>
      </x:c>
      <x:c r="G55" s="18" t="str">
        <x:v>PS-S10, PS-S12</x:v>
      </x:c>
      <x:c r="H55" s="18" t="str">
        <x:v>Establishing reference, reverse direction and simple spatial layout; each required dressing/daylight state. Match approved PS-LOC-TOWN.</x:v>
      </x:c>
      <x:c r="I55" s="24" t="str">
        <x:v>Pending</x:v>
      </x:c>
      <x:c r="J55" s="24" t="str"/>
      <x:c r="K55" s="25" t="n">
        <x:f>COUNTIFS('Scene Links'!$B$7:$B$545,A55)</x:f>
        <x:v>2</x:v>
      </x:c>
    </x:row>
    <x:row r="56" ht="24" hidden="0" customHeight="1">
      <x:c r="A56" s="23" t="str">
        <x:v>PS-LOC-BANQUET</x:v>
      </x:c>
      <x:c r="B56" s="23" t="str">
        <x:v>Location</x:v>
      </x:c>
      <x:c r="C56" s="17" t="str">
        <x:v>Tavern and banquet court</x:v>
      </x:c>
      <x:c r="D56" s="23" t="str">
        <x:v>PS-LOC-TOWN</x:v>
      </x:c>
      <x:c r="E56" s="17" t="str">
        <x:v>Small working hospitality court, benches, serving table, entrance and space for natural dance and musicians.</x:v>
      </x:c>
      <x:c r="F56" s="17" t="str">
        <x:v>S9 welcome; S10 evening fullness then deserted dishes; S12 smaller gathering and debt denial.</x:v>
      </x:c>
      <x:c r="G56" s="17" t="str">
        <x:v>PS-S09, PS-S10, PS-S12</x:v>
      </x:c>
      <x:c r="H56" s="17" t="str">
        <x:v>Establishing reference, reverse direction and simple spatial layout; each required dressing/daylight state. Match approved PS-LOC-TOWN.</x:v>
      </x:c>
      <x:c r="I56" s="24" t="str">
        <x:v>Pending</x:v>
      </x:c>
      <x:c r="J56" s="24" t="str"/>
      <x:c r="K56" s="26" t="n">
        <x:f>COUNTIFS('Scene Links'!$B$7:$B$545,A56)</x:f>
        <x:v>3</x:v>
      </x:c>
    </x:row>
    <x:row r="57" ht="24" hidden="0" customHeight="1">
      <x:c r="A57" s="22" t="str">
        <x:v>PS-LOC-STAIR</x:v>
      </x:c>
      <x:c r="B57" s="22" t="str">
        <x:v>Location</x:v>
      </x:c>
      <x:c r="C57" s="18" t="str">
        <x:v>Street stair sleeping place</x:v>
      </x:c>
      <x:c r="D57" s="22" t="str">
        <x:v>PS-LOC-TOWN</x:v>
      </x:c>
      <x:c r="E57" s="18" t="str">
        <x:v>Low exterior stair shelter associated with host’s lodging access, with plain street beyond.</x:v>
      </x:c>
      <x:c r="F57" s="18" t="str">
        <x:v>Night through predawn eviction.</x:v>
      </x:c>
      <x:c r="G57" s="18" t="str">
        <x:v>PS-S13</x:v>
      </x:c>
      <x:c r="H57" s="18" t="str">
        <x:v>Establishing reference, reverse direction and simple spatial layout; each required dressing/daylight state. Match approved PS-LOC-TOWN.</x:v>
      </x:c>
      <x:c r="I57" s="24" t="str">
        <x:v>Pending</x:v>
      </x:c>
      <x:c r="J57" s="24" t="str"/>
      <x:c r="K57" s="25" t="n">
        <x:f>COUNTIFS('Scene Links'!$B$7:$B$545,A57)</x:f>
        <x:v>1</x:v>
      </x:c>
    </x:row>
    <x:row r="58" ht="24" hidden="0" customHeight="1">
      <x:c r="A58" s="23" t="str">
        <x:v>PS-LOC-FAMINE</x:v>
      </x:c>
      <x:c r="B58" s="23" t="str">
        <x:v>Location state</x:v>
      </x:c>
      <x:c r="C58" s="17" t="str">
        <x:v>Foreign market in famine</x:v>
      </x:c>
      <x:c r="D58" s="23" t="str">
        <x:v>PS-LOC-MARKET</x:v>
      </x:c>
      <x:c r="E58" s="17" t="str">
        <x:v>Existing market architecture with depleted sacks, closed grain store, empty cloth and carefully measured flour.</x:v>
      </x:c>
      <x:c r="F58" s="17" t="str">
        <x:v>Scarcity follows spending; no instant destruction or ruined civilization.</x:v>
      </x:c>
      <x:c r="G58" s="17" t="str">
        <x:v>PS-S13</x:v>
      </x:c>
      <x:c r="H58" s="17" t="str">
        <x:v>Establishing reference, reverse direction and simple spatial layout; each required dressing/daylight state. Match approved PS-LOC-MARKET.</x:v>
      </x:c>
      <x:c r="I58" s="24" t="str">
        <x:v>Pending</x:v>
      </x:c>
      <x:c r="J58" s="24" t="str"/>
      <x:c r="K58" s="26" t="n">
        <x:f>COUNTIFS('Scene Links'!$B$7:$B$545,A58)</x:f>
        <x:v>1</x:v>
      </x:c>
    </x:row>
    <x:row r="59" ht="24" hidden="0" customHeight="1">
      <x:c r="A59" s="22" t="str">
        <x:v>PS-LOC-OUTSKIRTS</x:v>
      </x:c>
      <x:c r="B59" s="22" t="str">
        <x:v>Location</x:v>
      </x:c>
      <x:c r="C59" s="18" t="str">
        <x:v>Foreign dry fields and outskirts</x:v>
      </x:c>
      <x:c r="D59" s="22" t="str">
        <x:v>PS-LOC-TOWN</x:v>
      </x:c>
      <x:c r="E59" s="18" t="str">
        <x:v>Failed field, road edge, closed grain store/queue and family’s sledge nearby; route to animal holding.</x:v>
      </x:c>
      <x:c r="F59" s="18" t="str">
        <x:v>Regional famine does not visually turn entire world into desert overnight.</x:v>
      </x:c>
      <x:c r="G59" s="18" t="str">
        <x:v>PS-S13</x:v>
      </x:c>
      <x:c r="H59" s="18" t="str">
        <x:v>Establishing reference, reverse direction and simple spatial layout; each required dressing/daylight state. Match approved PS-LOC-TOWN.</x:v>
      </x:c>
      <x:c r="I59" s="24" t="str">
        <x:v>Pending</x:v>
      </x:c>
      <x:c r="J59" s="24" t="str"/>
      <x:c r="K59" s="25" t="n">
        <x:f>COUNTIFS('Scene Links'!$B$7:$B$545,A59)</x:f>
        <x:v>1</x:v>
      </x:c>
    </x:row>
    <x:row r="60" ht="24" hidden="0" customHeight="1">
      <x:c r="A60" s="23" t="str">
        <x:v>PS-LOC-PIGFARM</x:v>
      </x:c>
      <x:c r="B60" s="23" t="str">
        <x:v>Location</x:v>
      </x:c>
      <x:c r="C60" s="17" t="str">
        <x:v>Foreign pig enclosure and lean-to</x:v>
      </x:c>
      <x:c r="D60" s="23" t="str"/>
      <x:c r="E60" s="17" t="str">
        <x:v>Rough timber pen, low boundary, trough, feed gate, basic lean-to and nearby household doorway.</x:v>
      </x:c>
      <x:c r="F60" s="17" t="str">
        <x:v>Day dust and sweat; night localized practical darkness; first-light departure.</x:v>
      </x:c>
      <x:c r="G60" s="17" t="str">
        <x:v>PS-S15</x:v>
      </x:c>
      <x:c r="H60" s="17" t="str">
        <x:v>Establishing reference, reverse direction and simple spatial layout; each required dressing/daylight state.</x:v>
      </x:c>
      <x:c r="I60" s="24" t="str">
        <x:v>Pending</x:v>
      </x:c>
      <x:c r="J60" s="24" t="str"/>
      <x:c r="K60" s="26" t="n">
        <x:f>COUNTIFS('Scene Links'!$B$7:$B$545,A60)</x:f>
        <x:v>1</x:v>
      </x:c>
    </x:row>
    <x:row r="61" ht="24" hidden="0" customHeight="1">
      <x:c r="A61" s="22" t="str">
        <x:v>PS-WAR-JESUS</x:v>
      </x:c>
      <x:c r="B61" s="22" t="str">
        <x:v>Wardrobe</x:v>
      </x:c>
      <x:c r="C61" s="18" t="str">
        <x:v>Jesus’ living garments</x:v>
      </x:c>
      <x:c r="D61" s="22" t="str">
        <x:v>PS-CHR-JESUS</x:v>
      </x:c>
      <x:c r="E61" s="18" t="str">
        <x:v>Plain clean tunic, mantle and simple sandals of plausible first-century construction.</x:v>
      </x:c>
      <x:c r="F61" s="18" t="str">
        <x:v>No burial shroud, crucifixion wounds, crown or fantasy glow.</x:v>
      </x:c>
      <x:c r="G61" s="18" t="str">
        <x:v>PS-S01</x:v>
      </x:c>
      <x:c r="H61" s="18" t="str">
        <x:v>Worn front/back; fabric, edge and fastening details; clean and each specified wear state. Match approved PS-CHR-JESUS.</x:v>
      </x:c>
      <x:c r="I61" s="24" t="str">
        <x:v>Pending</x:v>
      </x:c>
      <x:c r="J61" s="24" t="str"/>
      <x:c r="K61" s="25" t="n">
        <x:f>COUNTIFS('Scene Links'!$B$7:$B$545,A61)</x:f>
        <x:v>1</x:v>
      </x:c>
    </x:row>
    <x:row r="62" ht="36" hidden="0" customHeight="1">
      <x:c r="A62" s="23" t="str">
        <x:v>PS-WAR-FATHER</x:v>
      </x:c>
      <x:c r="B62" s="23" t="str">
        <x:v>Wardrobe</x:v>
      </x:c>
      <x:c r="C62" s="17" t="str">
        <x:v>Father’s everyday clothes and mantle</x:v>
      </x:c>
      <x:c r="D62" s="23" t="str">
        <x:v>PS-CHR-FATHER</x:v>
      </x:c>
      <x:c r="E62" s="17" t="str">
        <x:v>Prosperous working household clothes; woven tunic, mantle and simple leather sandals, with restrained quality.</x:v>
      </x:c>
      <x:c r="F62" s="17" t="str">
        <x:v>Stable cut and palette. Road dust added during S18 and retained that evening. S15 uses original S4 sleeve state, with no homecoming road dirt.</x:v>
      </x:c>
      <x:c r="G62" s="17" t="str">
        <x:v>PS-S02, PS-S03, PS-S04, PS-S05, PS-S06, PS-S07, PS-S11, PS-S14, PS-S15, PS-S16, PS-S18, PS-S19, PS-S20, PS-S21, PS-S22</x:v>
      </x:c>
      <x:c r="H62" s="17" t="str">
        <x:v>Worn front/back; fabric, edge and fastening details; clean and each specified wear state. Match approved PS-CHR-FATHER.</x:v>
      </x:c>
      <x:c r="I62" s="24" t="str">
        <x:v>Pending</x:v>
      </x:c>
      <x:c r="J62" s="24" t="str"/>
      <x:c r="K62" s="26" t="n">
        <x:f>COUNTIFS('Scene Links'!$B$7:$B$545,A62)</x:f>
        <x:v>15</x:v>
      </x:c>
    </x:row>
    <x:row r="63" ht="24" hidden="0" customHeight="1">
      <x:c r="A63" s="22" t="str">
        <x:v>PS-WAR-FATHERTRAVEL</x:v>
      </x:c>
      <x:c r="B63" s="22" t="str">
        <x:v>Wardrobe</x:v>
      </x:c>
      <x:c r="C63" s="18" t="str">
        <x:v>Father’s traveling mantle</x:v>
      </x:c>
      <x:c r="D63" s="22" t="str">
        <x:v>PS-CHR-FATHER</x:v>
      </x:c>
      <x:c r="E63" s="18" t="str">
        <x:v>Mantle suited to ordinary travel, with realistic folds and worn edges.</x:v>
      </x:c>
      <x:c r="F63" s="18" t="str">
        <x:v>Travel dust retained through courtyard arrival; not confused with either son’s gift.</x:v>
      </x:c>
      <x:c r="G63" s="18" t="str">
        <x:v>PS-S02, PS-S03</x:v>
      </x:c>
      <x:c r="H63" s="18" t="str">
        <x:v>Worn front/back; fabric, edge and fastening details; clean and each specified wear state. Match approved PS-CHR-FATHER.</x:v>
      </x:c>
      <x:c r="I63" s="24" t="str">
        <x:v>Pending</x:v>
      </x:c>
      <x:c r="J63" s="24" t="str"/>
      <x:c r="K63" s="25" t="n">
        <x:f>COUNTIFS('Scene Links'!$B$7:$B$545,A63)</x:f>
        <x:v>2</x:v>
      </x:c>
    </x:row>
    <x:row r="64" ht="24" hidden="0" customHeight="1">
      <x:c r="A64" s="23" t="str">
        <x:v>PS-WAR-ELDER</x:v>
      </x:c>
      <x:c r="B64" s="23" t="str">
        <x:v>Wardrobe</x:v>
      </x:c>
      <x:c r="C64" s="17" t="str">
        <x:v>Elder’s work tunic and sandals</x:v>
      </x:c>
      <x:c r="D64" s="23" t="str">
        <x:v>PS-CHR-ELDER</x:v>
      </x:c>
      <x:c r="E64" s="17" t="str">
        <x:v>Practical tunic and leather sandals matching repeated field labor. Stable sleeves, belt and hem.</x:v>
      </x:c>
      <x:c r="F64" s="17" t="str">
        <x:v>S14 left-hand blood contact. Pale cuff mend established by S16. S15 reuses clean earlier S2 state.</x:v>
      </x:c>
      <x:c r="G64" s="17" t="str">
        <x:v>PS-S02, PS-S03, PS-S04, PS-S05, PS-S06, PS-S07, PS-S11, PS-S14, PS-S15, PS-S16, PS-S20, PS-S21, PS-S22</x:v>
      </x:c>
      <x:c r="H64" s="17" t="str">
        <x:v>Worn front/back; fabric, edge and fastening details; clean and each specified wear state. Match approved PS-CHR-ELDER.</x:v>
      </x:c>
      <x:c r="I64" s="24" t="str">
        <x:v>Pending</x:v>
      </x:c>
      <x:c r="J64" s="24" t="str"/>
      <x:c r="K64" s="26" t="n">
        <x:f>COUNTIFS('Scene Links'!$B$7:$B$545,A64)</x:f>
        <x:v>13</x:v>
      </x:c>
    </x:row>
    <x:row r="65" ht="24" hidden="0" customHeight="1">
      <x:c r="A65" s="22" t="str">
        <x:v>PS-WAR-OLIVE</x:v>
      </x:c>
      <x:c r="B65" s="22" t="str">
        <x:v>Wardrobe</x:v>
      </x:c>
      <x:c r="C65" s="18" t="str">
        <x:v>Elder’s olive gift mantle</x:v>
      </x:c>
      <x:c r="D65" s="22" t="str">
        <x:v>PS-CHR-ELDER</x:v>
      </x:c>
      <x:c r="E65" s="18" t="str">
        <x:v>Deep weathered-olive fine wool mantle equal in workmanship to russet gift.</x:v>
      </x:c>
      <x:c r="F65" s="18" t="str">
        <x:v>Folded S3; around shoulders S11; delivered S16; carried on arm S20, unused/held S21–22. Same garment.</x:v>
      </x:c>
      <x:c r="G65" s="18" t="str">
        <x:v>PS-S03, PS-S11, PS-S16, PS-S20, PS-S21, PS-S22</x:v>
      </x:c>
      <x:c r="H65" s="18" t="str">
        <x:v>Worn front/back; fabric, edge and fastening details; clean and each specified wear state. Match approved PS-CHR-ELDER.</x:v>
      </x:c>
      <x:c r="I65" s="24" t="str">
        <x:v>Pending</x:v>
      </x:c>
      <x:c r="J65" s="24" t="str"/>
      <x:c r="K65" s="25" t="n">
        <x:f>COUNTIFS('Scene Links'!$B$7:$B$545,A65)</x:f>
        <x:v>6</x:v>
      </x:c>
    </x:row>
    <x:row r="66" ht="36" hidden="0" customHeight="1">
      <x:c r="A66" s="23" t="str">
        <x:v>PS-WAR-YOUNGERTUNIC</x:v>
      </x:c>
      <x:c r="B66" s="23" t="str">
        <x:v>Wardrobe</x:v>
      </x:c>
      <x:c r="C66" s="17" t="str">
        <x:v>Younger’s plain tunic</x:v>
      </x:c>
      <x:c r="D66" s="23" t="str">
        <x:v>PS-CHR-YOUNGER</x:v>
      </x:c>
      <x:c r="E66" s="17" t="str">
        <x:v>Plain woven tunic with stable construction identifiable beneath changing mantles and final robe.</x:v>
      </x:c>
      <x:c r="F66" s="17" t="str">
        <x:v>Progressive wear; dirty and worn by famine, retained beneath best robe S19–22.</x:v>
      </x:c>
      <x:c r="G66" s="17" t="str">
        <x:v>PS-S02, PS-S03, PS-S04, PS-S05, PS-S06, PS-S07, PS-S08, PS-S09, PS-S10, PS-S12, PS-S13, PS-S15, PS-S17, PS-S18, PS-S19, PS-S20, PS-S21, PS-S22</x:v>
      </x:c>
      <x:c r="H66" s="17" t="str">
        <x:v>Worn front/back; fabric, edge and fastening details; clean and each specified wear state. Match approved PS-CHR-YOUNGER.</x:v>
      </x:c>
      <x:c r="I66" s="24" t="str">
        <x:v>Pending</x:v>
      </x:c>
      <x:c r="J66" s="24" t="str"/>
      <x:c r="K66" s="26" t="n">
        <x:f>COUNTIFS('Scene Links'!$B$7:$B$545,A66)</x:f>
        <x:v>18</x:v>
      </x:c>
    </x:row>
    <x:row r="67" ht="24" hidden="0" customHeight="1">
      <x:c r="A67" s="22" t="str">
        <x:v>PS-WAR-RUSSET</x:v>
      </x:c>
      <x:c r="B67" s="22" t="str">
        <x:v>Wardrobe</x:v>
      </x:c>
      <x:c r="C67" s="18" t="str">
        <x:v>Younger’s russet gift mantle</x:v>
      </x:c>
      <x:c r="D67" s="22" t="str">
        <x:v>PS-CHR-YOUNGER</x:v>
      </x:c>
      <x:c r="E67" s="18" t="str">
        <x:v>Muted-russet fine wool mantle equal to olive gift in quality. Lock unique edge/weave as father’s gift.</x:v>
      </x:c>
      <x:c r="F67" s="18" t="str">
        <x:v>Gift S3; worn through S9; hangs on room peg S10; sold S12; never restored or reappears on younger.</x:v>
      </x:c>
      <x:c r="G67" s="18" t="str">
        <x:v>PS-S03, PS-S04, PS-S05, PS-S06, PS-S07, PS-S08, PS-S09, PS-S10, PS-S12</x:v>
      </x:c>
      <x:c r="H67" s="18" t="str">
        <x:v>Worn front/back; fabric, edge and fastening details; clean and each specified wear state. Match approved PS-CHR-YOUNGER.</x:v>
      </x:c>
      <x:c r="I67" s="24" t="str">
        <x:v>Pending</x:v>
      </x:c>
      <x:c r="J67" s="24" t="str"/>
      <x:c r="K67" s="25" t="n">
        <x:f>COUNTIFS('Scene Links'!$B$7:$B$545,A67)</x:f>
        <x:v>9</x:v>
      </x:c>
    </x:row>
    <x:row r="68" ht="24" hidden="0" customHeight="1">
      <x:c r="A68" s="23" t="str">
        <x:v>PS-WAR-BLUE</x:v>
      </x:c>
      <x:c r="B68" s="23" t="str">
        <x:v>Wardrobe</x:v>
      </x:c>
      <x:c r="C68" s="17" t="str">
        <x:v>Purchased blue-bordered mantle</x:v>
      </x:c>
      <x:c r="D68" s="23" t="str">
        <x:v>PS-CHR-YOUNGER</x:v>
      </x:c>
      <x:c r="E68" s="17" t="str">
        <x:v>Lighter mantle with narrow blue border; modest foreign fashion rather than royal costume.</x:v>
      </x:c>
      <x:c r="F68" s="17" t="str">
        <x:v>Chosen S9; worn S10; wine-stained edge S10 onward; increasingly limp/worn S12–15; exchanged for food in early S17.</x:v>
      </x:c>
      <x:c r="G68" s="17" t="str">
        <x:v>PS-S09, PS-S10, PS-S12, PS-S13, PS-S15, PS-S17</x:v>
      </x:c>
      <x:c r="H68" s="17" t="str">
        <x:v>Worn front/back; fabric, edge and fastening details; clean and each specified wear state. Match approved PS-CHR-YOUNGER.</x:v>
      </x:c>
      <x:c r="I68" s="24" t="str">
        <x:v>Pending</x:v>
      </x:c>
      <x:c r="J68" s="24" t="str"/>
      <x:c r="K68" s="26" t="n">
        <x:f>COUNTIFS('Scene Links'!$B$7:$B$545,A68)</x:f>
        <x:v>6</x:v>
      </x:c>
    </x:row>
    <x:row r="69" ht="24" hidden="0" customHeight="1">
      <x:c r="A69" s="22" t="str">
        <x:v>PS-WAR-YOUNGERSANDAL</x:v>
      </x:c>
      <x:c r="B69" s="22" t="str">
        <x:v>Wardrobe</x:v>
      </x:c>
      <x:c r="C69" s="18" t="str">
        <x:v>Younger’s original sandals</x:v>
      </x:c>
      <x:c r="D69" s="22" t="str">
        <x:v>PS-CHR-YOUNGER</x:v>
      </x:c>
      <x:c r="E69" s="18" t="str">
        <x:v>Simple layered leather soles and binding straps, matched left/right pair.</x:v>
      </x:c>
      <x:c r="F69" s="18" t="str">
        <x:v>Worn progressively; strap breaks, retied, sole tears S17; both sandals left at roadside. Barefoot afterward until S19.</x:v>
      </x:c>
      <x:c r="G69" s="18" t="str">
        <x:v>PS-S02, PS-S03, PS-S04, PS-S05, PS-S06, PS-S07, PS-S08, PS-S09, PS-S10, PS-S12, PS-S13, PS-S15, PS-S17</x:v>
      </x:c>
      <x:c r="H69" s="18" t="str">
        <x:v>Worn front/back; fabric, edge and fastening details; clean and each specified wear state. Match approved PS-CHR-YOUNGER.</x:v>
      </x:c>
      <x:c r="I69" s="24" t="str">
        <x:v>Pending</x:v>
      </x:c>
      <x:c r="J69" s="24" t="str"/>
      <x:c r="K69" s="25" t="n">
        <x:f>COUNTIFS('Scene Links'!$B$7:$B$545,A69)</x:f>
        <x:v>13</x:v>
      </x:c>
    </x:row>
    <x:row r="70" ht="24" hidden="0" customHeight="1">
      <x:c r="A70" s="23" t="str">
        <x:v>PS-WAR-BESTROBE</x:v>
      </x:c>
      <x:c r="B70" s="23" t="str">
        <x:v>Wardrobe</x:v>
      </x:c>
      <x:c r="C70" s="17" t="str">
        <x:v>Best robe at restoration</x:v>
      </x:c>
      <x:c r="D70" s="23" t="str">
        <x:v>PS-CHR-YOUNGER</x:v>
      </x:c>
      <x:c r="E70" s="17" t="str">
        <x:v>Household’s best robe, visibly well made but historically restrained. Distinct from sold russet mantle and blue garment.</x:v>
      </x:c>
      <x:c r="F70" s="17" t="str">
        <x:v>Placed over wasted body and worn tunic S19. Same fit/folds through evening.</x:v>
      </x:c>
      <x:c r="G70" s="17" t="str">
        <x:v>PS-S19, PS-S20, PS-S21, PS-S22</x:v>
      </x:c>
      <x:c r="H70" s="17" t="str">
        <x:v>Worn front/back; fabric, edge and fastening details; clean and each specified wear state. Match approved PS-CHR-YOUNGER.</x:v>
      </x:c>
      <x:c r="I70" s="24" t="str">
        <x:v>Pending</x:v>
      </x:c>
      <x:c r="J70" s="24" t="str"/>
      <x:c r="K70" s="26" t="n">
        <x:f>COUNTIFS('Scene Links'!$B$7:$B$545,A70)</x:f>
        <x:v>4</x:v>
      </x:c>
    </x:row>
    <x:row r="71" ht="36" hidden="0" customHeight="1">
      <x:c r="A71" s="22" t="str">
        <x:v>PS-WAR-NEWSANDALS</x:v>
      </x:c>
      <x:c r="B71" s="22" t="str">
        <x:v>Wardrobe</x:v>
      </x:c>
      <x:c r="C71" s="18" t="str">
        <x:v>New sandals at restoration</x:v>
      </x:c>
      <x:c r="D71" s="22" t="str">
        <x:v>PS-CHR-YOUNGER</x:v>
      </x:c>
      <x:c r="E71" s="18" t="str">
        <x:v>New practical leather sandals, approved as distinct pair from discarded traveling sandals.</x:v>
      </x:c>
      <x:c r="F71" s="18" t="str">
        <x:v>Placed beneath washed feet S19. Establish donning before showing footwear during continuous feast evening; exact donning moment is not written.</x:v>
      </x:c>
      <x:c r="G71" s="18" t="str">
        <x:v>PS-S19, PS-S20, PS-S21, PS-S22</x:v>
      </x:c>
      <x:c r="H71" s="18" t="str">
        <x:v>Worn front/back; fabric, edge and fastening details; clean and each specified wear state. Match approved PS-CHR-YOUNGER.</x:v>
      </x:c>
      <x:c r="I71" s="24" t="str">
        <x:v>Pending</x:v>
      </x:c>
      <x:c r="J71" s="24" t="str"/>
      <x:c r="K71" s="25" t="n">
        <x:f>COUNTIFS('Scene Links'!$B$7:$B$545,A71)</x:f>
        <x:v>4</x:v>
      </x:c>
    </x:row>
    <x:row r="72" ht="24" hidden="0" customHeight="1">
      <x:c r="A72" s="23" t="str">
        <x:v>PS-WAR-HOMEKIT</x:v>
      </x:c>
      <x:c r="B72" s="23" t="str">
        <x:v>Wardrobe kit</x:v>
      </x:c>
      <x:c r="C72" s="17" t="str">
        <x:v>Home workers and neighbors’ clothing</x:v>
      </x:c>
      <x:c r="D72" s="23" t="str"/>
      <x:c r="E72" s="17" t="str">
        <x:v>Coherent local wardrobe kit for Mattan, Hannah, Levi, workers and neighbors. Specific identity-linked costumes retained.</x:v>
      </x:c>
      <x:c r="F72" s="17" t="str">
        <x:v>S15 reuses S2/S4 clothing. Work sweat/dust varies; feast does not give everyone modern formal wear.</x:v>
      </x:c>
      <x:c r="G72" s="17" t="str">
        <x:v>PS-S02, PS-S03, PS-S04, PS-S06, PS-S07, PS-S11, PS-S14, PS-S15, PS-S19, PS-S20, PS-S21, PS-S22</x:v>
      </x:c>
      <x:c r="H72" s="17" t="str">
        <x:v>Worn front/back; fabric, edge and fastening details; clean and each specified wear state.</x:v>
      </x:c>
      <x:c r="I72" s="24" t="str">
        <x:v>Pending</x:v>
      </x:c>
      <x:c r="J72" s="24" t="str"/>
      <x:c r="K72" s="26" t="n">
        <x:f>COUNTIFS('Scene Links'!$B$7:$B$545,A72)</x:f>
        <x:v>12</x:v>
      </x:c>
    </x:row>
    <x:row r="73" ht="24" hidden="0" customHeight="1">
      <x:c r="A73" s="22" t="str">
        <x:v>PS-WAR-FOREIGNKIT</x:v>
      </x:c>
      <x:c r="B73" s="22" t="str">
        <x:v>Wardrobe kit</x:v>
      </x:c>
      <x:c r="C73" s="18" t="str">
        <x:v>Foreign town and farm clothing</x:v>
      </x:c>
      <x:c r="D73" s="22" t="str"/>
      <x:c r="E73" s="18" t="str">
        <x:v>Coherent foreign regional garments for market, guests, host, Damon, bread seller and farmer, with practical variation.</x:v>
      </x:c>
      <x:c r="F73" s="18" t="str">
        <x:v>Scarcity worsens wear for poor people; no ethnic moral coding.</x:v>
      </x:c>
      <x:c r="G73" s="18" t="str">
        <x:v>PS-S09, PS-S10, PS-S12, PS-S13, PS-S15, PS-S17</x:v>
      </x:c>
      <x:c r="H73" s="18" t="str">
        <x:v>Worn front/back; fabric, edge and fastening details; clean and each specified wear state.</x:v>
      </x:c>
      <x:c r="I73" s="24" t="str">
        <x:v>Pending</x:v>
      </x:c>
      <x:c r="J73" s="24" t="str"/>
      <x:c r="K73" s="25" t="n">
        <x:f>COUNTIFS('Scene Links'!$B$7:$B$545,A73)</x:f>
        <x:v>6</x:v>
      </x:c>
    </x:row>
    <x:row r="74" ht="24" hidden="0" customHeight="1">
      <x:c r="A74" s="23" t="str">
        <x:v>PS-GRM-YOUNGERHOME</x:v>
      </x:c>
      <x:c r="B74" s="23" t="str">
        <x:v>Grooming</x:v>
      </x:c>
      <x:c r="C74" s="17" t="str">
        <x:v>Younger at home and early abroad</x:v>
      </x:c>
      <x:c r="D74" s="23" t="str">
        <x:v>PS-CHR-YOUNGER</x:v>
      </x:c>
      <x:c r="E74" s="17" t="str">
        <x:v>Healthy face and body, brown hair, natural skin texture and ordinary grooming.</x:v>
      </x:c>
      <x:c r="F74" s="17" t="str">
        <x:v>Travel dust is transient; physical deterioration begins gradually as silver ends.</x:v>
      </x:c>
      <x:c r="G74" s="17" t="str">
        <x:v>PS-S02, PS-S03, PS-S04, PS-S05, PS-S06, PS-S07, PS-S08, PS-S09, PS-S10, PS-S12</x:v>
      </x:c>
      <x:c r="H74" s="17" t="str">
        <x:v>Matched baseline and changed-state face/body/hand references; wound or dirt placement detail. Match approved PS-CHR-YOUNGER.</x:v>
      </x:c>
      <x:c r="I74" s="24" t="str">
        <x:v>Pending</x:v>
      </x:c>
      <x:c r="J74" s="24" t="str"/>
      <x:c r="K74" s="26" t="n">
        <x:f>COUNTIFS('Scene Links'!$B$7:$B$545,A74)</x:f>
        <x:v>10</x:v>
      </x:c>
    </x:row>
    <x:row r="75" ht="24" hidden="0" customHeight="1">
      <x:c r="A75" s="22" t="str">
        <x:v>PS-GRM-YOUNGERHUNGER</x:v>
      </x:c>
      <x:c r="B75" s="22" t="str">
        <x:v>Grooming</x:v>
      </x:c>
      <x:c r="C75" s="18" t="str">
        <x:v>Younger during hunger and pig labor</x:v>
      </x:c>
      <x:c r="D75" s="22" t="str">
        <x:v>PS-CHR-YOUNGER</x:v>
      </x:c>
      <x:c r="E75" s="18" t="str">
        <x:v>Same identity with progressive weight loss, sunken cheeks, tangled brown hair, dust, sweat and dry lips.</x:v>
      </x:c>
      <x:c r="F75" s="18" t="str">
        <x:v>No sudden change of face/age. S17 face wash partial; feet dusty after sandals abandoned; S18 still exhausted.</x:v>
      </x:c>
      <x:c r="G75" s="18" t="str">
        <x:v>PS-S13, PS-S15, PS-S17, PS-S18</x:v>
      </x:c>
      <x:c r="H75" s="18" t="str">
        <x:v>Matched baseline and changed-state face/body/hand references; wound or dirt placement detail. Match approved PS-CHR-YOUNGER.</x:v>
      </x:c>
      <x:c r="I75" s="24" t="str">
        <x:v>Pending</x:v>
      </x:c>
      <x:c r="J75" s="24" t="str"/>
      <x:c r="K75" s="25" t="n">
        <x:f>COUNTIFS('Scene Links'!$B$7:$B$545,A75)</x:f>
        <x:v>4</x:v>
      </x:c>
    </x:row>
    <x:row r="76" ht="24" hidden="0" customHeight="1">
      <x:c r="A76" s="23" t="str">
        <x:v>PS-GRM-YOUNGERRESTORE</x:v>
      </x:c>
      <x:c r="B76" s="23" t="str">
        <x:v>Grooming</x:v>
      </x:c>
      <x:c r="C76" s="17" t="str">
        <x:v>Younger restored but still wasted</x:v>
      </x:c>
      <x:c r="D76" s="23" t="str">
        <x:v>PS-CHR-YOUNGER</x:v>
      </x:c>
      <x:c r="E76" s="17" t="str">
        <x:v>Retain sunken face, thin neck, weakness and unsteady hands beneath clean ceremonial clothing.</x:v>
      </x:c>
      <x:c r="F76" s="17" t="str">
        <x:v>Feet washed S19; clean clothing does not heal hunger instantly.</x:v>
      </x:c>
      <x:c r="G76" s="17" t="str">
        <x:v>PS-S19, PS-S20, PS-S21, PS-S22</x:v>
      </x:c>
      <x:c r="H76" s="17" t="str">
        <x:v>Matched baseline and changed-state face/body/hand references; wound or dirt placement detail. Match approved PS-CHR-YOUNGER.</x:v>
      </x:c>
      <x:c r="I76" s="24" t="str">
        <x:v>Pending</x:v>
      </x:c>
      <x:c r="J76" s="24" t="str"/>
      <x:c r="K76" s="26" t="n">
        <x:f>COUNTIFS('Scene Links'!$B$7:$B$545,A76)</x:f>
        <x:v>4</x:v>
      </x:c>
    </x:row>
    <x:row r="77" ht="24" hidden="0" customHeight="1">
      <x:c r="A77" s="22" t="str">
        <x:v>PS-GRM-ELDERPALM</x:v>
      </x:c>
      <x:c r="B77" s="22" t="str">
        <x:v>Grooming</x:v>
      </x:c>
      <x:c r="C77" s="18" t="str">
        <x:v>Elder’s left palm wound and scar</x:v>
      </x:c>
      <x:c r="D77" s="22" t="str">
        <x:v>PS-CHR-ELDER</x:v>
      </x:c>
      <x:c r="E77" s="18" t="str">
        <x:v>One localized split on left palm; same position and orientation in every phase.</x:v>
      </x:c>
      <x:c r="F77" s="18" t="str">
        <x:v>Open split S3; cloth dressing; healing S11; reopened/blood S14; stable scar S16 and S20–22.</x:v>
      </x:c>
      <x:c r="G77" s="18" t="str">
        <x:v>PS-S03, PS-S04, PS-S05, PS-S06, PS-S07, PS-S11, PS-S14, PS-S16, PS-S20, PS-S21, PS-S22</x:v>
      </x:c>
      <x:c r="H77" s="18" t="str">
        <x:v>Matched baseline and changed-state face/body/hand references; wound or dirt placement detail. Match approved PS-CHR-ELDER.</x:v>
      </x:c>
      <x:c r="I77" s="24" t="str">
        <x:v>Pending</x:v>
      </x:c>
      <x:c r="J77" s="24" t="str"/>
      <x:c r="K77" s="25" t="n">
        <x:f>COUNTIFS('Scene Links'!$B$7:$B$545,A77)</x:f>
        <x:v>11</x:v>
      </x:c>
    </x:row>
    <x:row r="78" ht="24" hidden="0" customHeight="1">
      <x:c r="A78" s="23" t="str">
        <x:v>PS-GRM-FATHERDUST</x:v>
      </x:c>
      <x:c r="B78" s="23" t="str">
        <x:v>Grooming</x:v>
      </x:c>
      <x:c r="C78" s="17" t="str">
        <x:v>Father’s reunion road dust</x:v>
      </x:c>
      <x:c r="D78" s="23" t="str">
        <x:v>PS-CHR-FATHER</x:v>
      </x:c>
      <x:c r="E78" s="17" t="str">
        <x:v>Natural road dust on hands, knees and clothing after kneeling with younger.</x:v>
      </x:c>
      <x:c r="F78" s="17" t="str">
        <x:v>Dust transferred by embrace; younger tries to brush it off but father keeps his hand. Retain through feast.</x:v>
      </x:c>
      <x:c r="G78" s="17" t="str">
        <x:v>PS-S18, PS-S19, PS-S20, PS-S21, PS-S22</x:v>
      </x:c>
      <x:c r="H78" s="17" t="str">
        <x:v>Matched baseline and changed-state face/body/hand references; wound or dirt placement detail. Match approved PS-CHR-FATHER.</x:v>
      </x:c>
      <x:c r="I78" s="24" t="str">
        <x:v>Pending</x:v>
      </x:c>
      <x:c r="J78" s="24" t="str"/>
      <x:c r="K78" s="26" t="n">
        <x:f>COUNTIFS('Scene Links'!$B$7:$B$545,A78)</x:f>
        <x:v>5</x:v>
      </x:c>
    </x:row>
    <x:row r="79" ht="48" hidden="0" customHeight="1">
      <x:c r="A79" s="22" t="str">
        <x:v>PS-PRP-WATERSKIN</x:v>
      </x:c>
      <x:c r="B79" s="22" t="str">
        <x:v>Prop</x:v>
      </x:c>
      <x:c r="C79" s="18" t="str">
        <x:v>Elder’s repaired waterskin</x:v>
      </x:c>
      <x:c r="D79" s="22" t="str"/>
      <x:c r="E79" s="18" t="str">
        <x:v>Leather waterskin with clear neat repaired seam beneath; ordinary strap and closure.</x:v>
      </x:c>
      <x:c r="F79" s="18" t="str">
        <x:v>Given S5; wine stain S10; recovered same night; retained through famine and return. Seam holds; never discarded/sold. Keep with younger during/after embrace; any later stow must preserve its seam and stain.</x:v>
      </x:c>
      <x:c r="G79" s="18" t="str">
        <x:v>PS-S05, PS-S06, PS-S07, PS-S08, PS-S09, PS-S10, PS-S12, PS-S13, PS-S15, PS-S17, PS-S18, PS-S19</x:v>
      </x:c>
      <x:c r="H79" s="18" t="str">
        <x:v>Overall object or kit, hand-scale reference and distinguishing detail; each required damage/fill/wear state.</x:v>
      </x:c>
      <x:c r="I79" s="24" t="str">
        <x:v>Pending</x:v>
      </x:c>
      <x:c r="J79" s="24" t="str"/>
      <x:c r="K79" s="25" t="n">
        <x:f>COUNTIFS('Scene Links'!$B$7:$B$545,A79)</x:f>
        <x:v>12</x:v>
      </x:c>
    </x:row>
    <x:row r="80" ht="24" hidden="0" customHeight="1">
      <x:c r="A80" s="23" t="str">
        <x:v>PS-PRP-BASKETMENDED</x:v>
      </x:c>
      <x:c r="B80" s="23" t="str">
        <x:v>Prop</x:v>
      </x:c>
      <x:c r="C80" s="17" t="str">
        <x:v>Damaged basket and younger’s repair</x:v>
      </x:c>
      <x:c r="D80" s="23" t="str"/>
      <x:c r="E80" s="17" t="str">
        <x:v>Palm/rush basket with visibly broken handle repaired in S2 using loose cord.</x:v>
      </x:c>
      <x:c r="F80" s="17" t="str">
        <x:v>S2 broken then repaired by younger; S6 sorted; S14 old knot loosens and elder remends. S15 recall must match S2.</x:v>
      </x:c>
      <x:c r="G80" s="17" t="str">
        <x:v>PS-S02, PS-S06, PS-S14, PS-S15</x:v>
      </x:c>
      <x:c r="H80" s="17" t="str">
        <x:v>Overall object or kit, hand-scale reference and distinguishing detail; each required damage/fill/wear state.</x:v>
      </x:c>
      <x:c r="I80" s="24" t="str">
        <x:v>Pending</x:v>
      </x:c>
      <x:c r="J80" s="24" t="str"/>
      <x:c r="K80" s="26" t="n">
        <x:f>COUNTIFS('Scene Links'!$B$7:$B$545,A80)</x:f>
        <x:v>4</x:v>
      </x:c>
    </x:row>
    <x:row r="81" ht="24" hidden="0" customHeight="1">
      <x:c r="A81" s="22" t="str">
        <x:v>PS-PRP-BASKETSOUND</x:v>
      </x:c>
      <x:c r="B81" s="22" t="str">
        <x:v>Prop</x:v>
      </x:c>
      <x:c r="C81" s="18" t="str">
        <x:v>Elder’s sound basket for Levi</x:v>
      </x:c>
      <x:c r="D81" s="22" t="str"/>
      <x:c r="E81" s="18" t="str">
        <x:v>Sound working basket distinct from broken-handle hero basket.</x:v>
      </x:c>
      <x:c r="F81" s="18" t="str">
        <x:v>Transferred elder to Levi in S2; S15 repeats original exchange. S14 another sound basket replaces failure.</x:v>
      </x:c>
      <x:c r="G81" s="18" t="str">
        <x:v>PS-S02, PS-S07, PS-S14, PS-S15</x:v>
      </x:c>
      <x:c r="H81" s="18" t="str">
        <x:v>Overall object or kit, hand-scale reference and distinguishing detail; each required damage/fill/wear state.</x:v>
      </x:c>
      <x:c r="I81" s="24" t="str">
        <x:v>Pending</x:v>
      </x:c>
      <x:c r="J81" s="24" t="str"/>
      <x:c r="K81" s="25" t="n">
        <x:f>COUNTIFS('Scene Links'!$B$7:$B$545,A81)</x:f>
        <x:v>4</x:v>
      </x:c>
    </x:row>
    <x:row r="82" ht="24" hidden="0" customHeight="1">
      <x:c r="A82" s="23" t="str">
        <x:v>PS-PRP-WALLCORD</x:v>
      </x:c>
      <x:c r="B82" s="23" t="str">
        <x:v>Prop</x:v>
      </x:c>
      <x:c r="C82" s="17" t="str">
        <x:v>Wall setting line and cord</x:v>
      </x:c>
      <x:c r="D82" s="23" t="str"/>
      <x:c r="E82" s="17" t="str">
        <x:v>Simple working cord establishing straight retaining-wall course.</x:v>
      </x:c>
      <x:c r="F82" s="17" t="str">
        <x:v>Line anchored to actual repair; no modern nylon or construction level.</x:v>
      </x:c>
      <x:c r="G82" s="17" t="str">
        <x:v>PS-S02, PS-S06, PS-S16</x:v>
      </x:c>
      <x:c r="H82" s="17" t="str">
        <x:v>Overall object or kit, hand-scale reference and distinguishing detail; each required damage/fill/wear state.</x:v>
      </x:c>
      <x:c r="I82" s="24" t="str">
        <x:v>Pending</x:v>
      </x:c>
      <x:c r="J82" s="24" t="str"/>
      <x:c r="K82" s="26" t="n">
        <x:f>COUNTIFS('Scene Links'!$B$7:$B$545,A82)</x:f>
        <x:v>3</x:v>
      </x:c>
    </x:row>
    <x:row r="83" ht="36" hidden="0" customHeight="1">
      <x:c r="A83" s="22" t="str">
        <x:v>PS-PRP-FIELDSTONES</x:v>
      </x:c>
      <x:c r="B83" s="22" t="str">
        <x:v>Prop / dressing</x:v>
      </x:c>
      <x:c r="C83" s="18" t="str">
        <x:v>Retaining-wall loose fieldstones</x:v>
      </x:c>
      <x:c r="D83" s="22" t="str">
        <x:v>PS-LOC-TERRACE</x:v>
      </x:c>
      <x:c r="E83" s="18" t="str">
        <x:v>Safe-to-stage natural stones of consistent geological color and plausible lifting weight. Include hero heavy stone and supporting stones.</x:v>
      </x:c>
      <x:c r="F83" s="18" t="str">
        <x:v>Heavy stone seated/repositioned S2; completed sections grow; short run left S16.</x:v>
      </x:c>
      <x:c r="G83" s="18" t="str">
        <x:v>PS-S02, PS-S06, PS-S11, PS-S16</x:v>
      </x:c>
      <x:c r="H83" s="18" t="str">
        <x:v>Overall object or kit, hand-scale reference and distinguishing detail; each required damage/fill/wear state. Match approved PS-LOC-TERRACE.</x:v>
      </x:c>
      <x:c r="I83" s="24" t="str">
        <x:v>Pending</x:v>
      </x:c>
      <x:c r="J83" s="24" t="str"/>
      <x:c r="K83" s="25" t="n">
        <x:f>COUNTIFS('Scene Links'!$B$7:$B$545,A83)</x:f>
        <x:v>4</x:v>
      </x:c>
    </x:row>
    <x:row r="84" ht="36" hidden="0" customHeight="1">
      <x:c r="A84" s="23" t="str">
        <x:v>PS-PRP-PALMCLOTH</x:v>
      </x:c>
      <x:c r="B84" s="23" t="str">
        <x:v>Prop</x:v>
      </x:c>
      <x:c r="C84" s="17" t="str">
        <x:v>Elder’s hand dressing cloth</x:v>
      </x:c>
      <x:c r="D84" s="23" t="str">
        <x:v>PS-GRM-ELDERPALM</x:v>
      </x:c>
      <x:c r="E84" s="17" t="str">
        <x:v>Small clean woven strip and used matching bandage states.</x:v>
      </x:c>
      <x:c r="F84" s="17" t="str">
        <x:v>Applied left palm S3; dressed S4; loosened/healing later; removed before scar state. No pristine bandage after S16.</x:v>
      </x:c>
      <x:c r="G84" s="17" t="str">
        <x:v>PS-S03, PS-S04, PS-S05, PS-S06, PS-S07, PS-S11, PS-S14</x:v>
      </x:c>
      <x:c r="H84" s="17" t="str">
        <x:v>Overall object or kit, hand-scale reference and distinguishing detail; each required damage/fill/wear state. Match approved PS-GRM-ELDERPALM.</x:v>
      </x:c>
      <x:c r="I84" s="24" t="str">
        <x:v>Pending</x:v>
      </x:c>
      <x:c r="J84" s="24" t="str"/>
      <x:c r="K84" s="26" t="n">
        <x:f>COUNTIFS('Scene Links'!$B$7:$B$545,A84)</x:f>
        <x:v>7</x:v>
      </x:c>
    </x:row>
    <x:row r="85" ht="24" hidden="0" customHeight="1">
      <x:c r="A85" s="22" t="str">
        <x:v>PS-PRP-WASHBOWL</x:v>
      </x:c>
      <x:c r="B85" s="22" t="str">
        <x:v>Prop</x:v>
      </x:c>
      <x:c r="C85" s="18" t="str">
        <x:v>Home washing bowl and water</x:v>
      </x:c>
      <x:c r="D85" s="22" t="str"/>
      <x:c r="E85" s="18" t="str">
        <x:v>Practical shallow pottery or wood bowl for hand/foot care, with separate food-use vessels.</x:v>
      </x:c>
      <x:c r="F85" s="18" t="str">
        <x:v>Clean water for dressing S3; household washing S4/11; blood wash S14; foot dust S19.</x:v>
      </x:c>
      <x:c r="G85" s="18" t="str">
        <x:v>PS-S03, PS-S04, PS-S11, PS-S14, PS-S19</x:v>
      </x:c>
      <x:c r="H85" s="18" t="str">
        <x:v>Overall object or kit, hand-scale reference and distinguishing detail; each required damage/fill/wear state.</x:v>
      </x:c>
      <x:c r="I85" s="24" t="str">
        <x:v>Pending</x:v>
      </x:c>
      <x:c r="J85" s="24" t="str"/>
      <x:c r="K85" s="25" t="n">
        <x:f>COUNTIFS('Scene Links'!$B$7:$B$545,A85)</x:f>
        <x:v>5</x:v>
      </x:c>
    </x:row>
    <x:row r="86" ht="24" hidden="0" customHeight="1">
      <x:c r="A86" s="23" t="str">
        <x:v>PS-PRP-REFLECTIONBOWL</x:v>
      </x:c>
      <x:c r="B86" s="23" t="str">
        <x:v>Prop</x:v>
      </x:c>
      <x:c r="C86" s="17" t="str">
        <x:v>Younger’s shallow reflection bowl</x:v>
      </x:c>
      <x:c r="D86" s="23" t="str"/>
      <x:c r="E86" s="17" t="str">
        <x:v>Shallow water bowl allowing imperfect natural reflection at courtyard.</x:v>
      </x:c>
      <x:c r="F86" s="17" t="str">
        <x:v>Water surface and angle consistent; no modern mirror.</x:v>
      </x:c>
      <x:c r="G86" s="17" t="str">
        <x:v>PS-S03</x:v>
      </x:c>
      <x:c r="H86" s="17" t="str">
        <x:v>Overall object or kit, hand-scale reference and distinguishing detail; each required damage/fill/wear state.</x:v>
      </x:c>
      <x:c r="I86" s="24" t="str">
        <x:v>Pending</x:v>
      </x:c>
      <x:c r="J86" s="24" t="str"/>
      <x:c r="K86" s="26" t="n">
        <x:f>COUNTIFS('Scene Links'!$B$7:$B$545,A86)</x:f>
        <x:v>1</x:v>
      </x:c>
    </x:row>
    <x:row r="87" ht="24" hidden="0" customHeight="1">
      <x:c r="A87" s="22" t="str">
        <x:v>PS-PRP-ESTATEDOC</x:v>
      </x:c>
      <x:c r="B87" s="22" t="str">
        <x:v>Prop</x:v>
      </x:c>
      <x:c r="C87" s="18" t="str">
        <x:v>Written estate division</x:v>
      </x:c>
      <x:c r="D87" s="22" t="str"/>
      <x:c r="E87" s="18" t="str">
        <x:v>Rolled papyrus document with era-appropriate writing. Exact transfer mechanics are adaptation. Show both shares without inventing a valuation or a modern ledger.</x:v>
      </x:c>
      <x:c r="F87" s="18" t="str">
        <x:v>Both sons’ shares indicated. Text composited/researched if legible; no modern ledger or invented numerical valuation.</x:v>
      </x:c>
      <x:c r="G87" s="18" t="str">
        <x:v>PS-S06</x:v>
      </x:c>
      <x:c r="H87" s="18" t="str">
        <x:v>Overall object or kit, hand-scale reference and distinguishing detail; each required damage/fill/wear state.</x:v>
      </x:c>
      <x:c r="I87" s="24" t="str">
        <x:v>Pending</x:v>
      </x:c>
      <x:c r="J87" s="24" t="str"/>
      <x:c r="K87" s="25" t="n">
        <x:f>COUNTIFS('Scene Links'!$B$7:$B$545,A87)</x:f>
        <x:v>1</x:v>
      </x:c>
    </x:row>
    <x:row r="88" ht="24" hidden="0" customHeight="1">
      <x:c r="A88" s="23" t="str">
        <x:v>PS-PRP-WRITING</x:v>
      </x:c>
      <x:c r="B88" s="23" t="str">
        <x:v>Prop kit</x:v>
      </x:c>
      <x:c r="C88" s="17" t="str">
        <x:v>Inkwell, reed pen and document ties</x:v>
      </x:c>
      <x:c r="D88" s="23" t="str"/>
      <x:c r="E88" s="17" t="str">
        <x:v>Small pottery inkwell, reed pen and practical ties, informed by dated Judean evidence.</x:v>
      </x:c>
      <x:c r="F88" s="17" t="str">
        <x:v>Dry end of division table. No metal-nib fountain pen or bound modern account book.</x:v>
      </x:c>
      <x:c r="G88" s="17" t="str">
        <x:v>PS-S06</x:v>
      </x:c>
      <x:c r="H88" s="17" t="str">
        <x:v>Overall object or kit, hand-scale reference and distinguishing detail; each required damage/fill/wear state.</x:v>
      </x:c>
      <x:c r="I88" s="24" t="str">
        <x:v>Pending</x:v>
      </x:c>
      <x:c r="J88" s="24" t="str"/>
      <x:c r="K88" s="26" t="n">
        <x:f>COUNTIFS('Scene Links'!$B$7:$B$545,A88)</x:f>
        <x:v>1</x:v>
      </x:c>
    </x:row>
    <x:row r="89" ht="24" hidden="0" customHeight="1">
      <x:c r="A89" s="22" t="str">
        <x:v>PS-PRP-BALANCE</x:v>
      </x:c>
      <x:c r="B89" s="22" t="str">
        <x:v>Prop</x:v>
      </x:c>
      <x:c r="C89" s="18" t="str">
        <x:v>Shallow silver balance</x:v>
      </x:c>
      <x:c r="D89" s="22" t="str"/>
      <x:c r="E89" s="18" t="str">
        <x:v>Period-plausible small balance with matched pans and plausible weights.</x:v>
      </x:c>
      <x:c r="F89" s="18" t="str">
        <x:v>Level settling balance above plain coin cloth.</x:v>
      </x:c>
      <x:c r="G89" s="18" t="str">
        <x:v>PS-S06</x:v>
      </x:c>
      <x:c r="H89" s="18" t="str">
        <x:v>Overall object or kit, hand-scale reference and distinguishing detail; each required damage/fill/wear state.</x:v>
      </x:c>
      <x:c r="I89" s="24" t="str">
        <x:v>Pending</x:v>
      </x:c>
      <x:c r="J89" s="24" t="str"/>
      <x:c r="K89" s="25" t="n">
        <x:f>COUNTIFS('Scene Links'!$B$7:$B$545,A89)</x:f>
        <x:v>1</x:v>
      </x:c>
    </x:row>
    <x:row r="90" ht="24" hidden="0" customHeight="1">
      <x:c r="A90" s="23" t="str">
        <x:v>PS-PRP-COINS</x:v>
      </x:c>
      <x:c r="B90" s="23" t="str">
        <x:v>Prop</x:v>
      </x:c>
      <x:c r="C90" s="17" t="str">
        <x:v>Silver and copper money</x:v>
      </x:c>
      <x:c r="D90" s="23" t="str"/>
      <x:c r="E90" s="17" t="str">
        <x:v>Plausible locally circulating silver and small copper coins; avoid an exact inheritance sum or modern stamped currency.</x:v>
      </x:c>
      <x:c r="F90" s="17" t="str">
        <x:v>Bundles S6; generous silver S8–10; two small coins S12; Damon’s few copper pieces S13.</x:v>
      </x:c>
      <x:c r="G90" s="17" t="str">
        <x:v>PS-S06, PS-S08, PS-S09, PS-S10, PS-S12, PS-S13</x:v>
      </x:c>
      <x:c r="H90" s="17" t="str">
        <x:v>Overall object or kit, hand-scale reference and distinguishing detail; each required damage/fill/wear state.</x:v>
      </x:c>
      <x:c r="I90" s="24" t="str">
        <x:v>Pending</x:v>
      </x:c>
      <x:c r="J90" s="24" t="str"/>
      <x:c r="K90" s="26" t="n">
        <x:f>COUNTIFS('Scene Links'!$B$7:$B$545,A90)</x:f>
        <x:v>6</x:v>
      </x:c>
    </x:row>
    <x:row r="91" ht="24" hidden="0" customHeight="1">
      <x:c r="A91" s="22" t="str">
        <x:v>PS-PRP-COINCLOTH</x:v>
      </x:c>
      <x:c r="B91" s="22" t="str">
        <x:v>Prop</x:v>
      </x:c>
      <x:c r="C91" s="18" t="str">
        <x:v>Coin-counting cloth and bundles</x:v>
      </x:c>
      <x:c r="D91" s="22" t="str"/>
      <x:c r="E91" s="18" t="str">
        <x:v>Plain textile cloth with tied silver bundles, distinct from bread cloth.</x:v>
      </x:c>
      <x:c r="F91" s="18" t="str">
        <x:v>Ordered division S6; diminishing coin piles and two final small coins S12.</x:v>
      </x:c>
      <x:c r="G91" s="18" t="str">
        <x:v>PS-S06, PS-S12</x:v>
      </x:c>
      <x:c r="H91" s="18" t="str">
        <x:v>Overall object or kit, hand-scale reference and distinguishing detail; each required damage/fill/wear state.</x:v>
      </x:c>
      <x:c r="I91" s="24" t="str">
        <x:v>Pending</x:v>
      </x:c>
      <x:c r="J91" s="24" t="str"/>
      <x:c r="K91" s="25" t="n">
        <x:f>COUNTIFS('Scene Links'!$B$7:$B$545,A91)</x:f>
        <x:v>2</x:v>
      </x:c>
    </x:row>
    <x:row r="92" ht="24" hidden="0" customHeight="1">
      <x:c r="A92" s="23" t="str">
        <x:v>PS-PRP-MONEYPOUCH</x:v>
      </x:c>
      <x:c r="B92" s="23" t="str">
        <x:v>Prop</x:v>
      </x:c>
      <x:c r="C92" s="17" t="str">
        <x:v>Younger’s money pouch</x:v>
      </x:c>
      <x:c r="D92" s="23" t="str"/>
      <x:c r="E92" s="17" t="str">
        <x:v>Leather pouch carried concealed under departure mantle then displayed on tavern table.</x:v>
      </x:c>
      <x:c r="F92" s="17" t="str">
        <x:v>Full/heavy S6–9; diminished S10–12; empty after S12. S15 searches bedding, not a newly full pouch.</x:v>
      </x:c>
      <x:c r="G92" s="17" t="str">
        <x:v>PS-S06, PS-S07, PS-S08, PS-S09, PS-S10, PS-S12, PS-S15</x:v>
      </x:c>
      <x:c r="H92" s="17" t="str">
        <x:v>Overall object or kit, hand-scale reference and distinguishing detail; each required damage/fill/wear state.</x:v>
      </x:c>
      <x:c r="I92" s="24" t="str">
        <x:v>Pending</x:v>
      </x:c>
      <x:c r="J92" s="24" t="str"/>
      <x:c r="K92" s="26" t="n">
        <x:f>COUNTIFS('Scene Links'!$B$7:$B$545,A92)</x:f>
        <x:v>7</x:v>
      </x:c>
    </x:row>
    <x:row r="93" ht="48" hidden="0" customHeight="1">
      <x:c r="A93" s="22" t="str">
        <x:v>PS-PRP-BEDDING</x:v>
      </x:c>
      <x:c r="B93" s="22" t="str">
        <x:v>Prop</x:v>
      </x:c>
      <x:c r="C93" s="18" t="str">
        <x:v>Younger’s bedding and clothing bundle</x:v>
      </x:c>
      <x:c r="D93" s="22" t="str"/>
      <x:c r="E93" s="18" t="str">
        <x:v>Rolled cloth bedding and tied travel clothes, transportable on donkey and by younger.</x:v>
      </x:c>
      <x:c r="F93" s="18" t="str">
        <x:v>Prepared S6, carried by donkey S7, taken at eviction S12–13, searched S15, roadside S18, retained on arrival S19. S18 pickup is not scripted; resolve retrieval/stow at frame planning before showing the bundle at the house.</x:v>
      </x:c>
      <x:c r="G93" s="18" t="str">
        <x:v>PS-S06, PS-S07, PS-S08, PS-S10, PS-S12, PS-S13, PS-S15, PS-S17, PS-S18, PS-S19</x:v>
      </x:c>
      <x:c r="H93" s="18" t="str">
        <x:v>Overall object or kit, hand-scale reference and distinguishing detail; each required damage/fill/wear state.</x:v>
      </x:c>
      <x:c r="I93" s="24" t="str">
        <x:v>Pending</x:v>
      </x:c>
      <x:c r="J93" s="24" t="str"/>
      <x:c r="K93" s="25" t="n">
        <x:f>COUNTIFS('Scene Links'!$B$7:$B$545,A93)</x:f>
        <x:v>10</x:v>
      </x:c>
    </x:row>
    <x:row r="94" ht="24" hidden="0" customHeight="1">
      <x:c r="A94" s="23" t="str">
        <x:v>PS-PRP-BREADCLOTH</x:v>
      </x:c>
      <x:c r="B94" s="23" t="str">
        <x:v>Prop</x:v>
      </x:c>
      <x:c r="C94" s="17" t="str">
        <x:v>Hannah’s bread wrapping cloth</x:v>
      </x:c>
      <x:c r="D94" s="23" t="str"/>
      <x:c r="E94" s="17" t="str">
        <x:v>Distinct modest cloth used around departure bread, recognizable when empty later.</x:v>
      </x:c>
      <x:c r="F94" s="17" t="str">
        <x:v>Bread-filled S7; empty scrap discovered S15, folded inside bundle; checked and replaced S17; kept with belongings home.</x:v>
      </x:c>
      <x:c r="G94" s="17" t="str">
        <x:v>PS-S07, PS-S15, PS-S17, PS-S18, PS-S19</x:v>
      </x:c>
      <x:c r="H94" s="17" t="str">
        <x:v>Overall object or kit, hand-scale reference and distinguishing detail; each required damage/fill/wear state.</x:v>
      </x:c>
      <x:c r="I94" s="24" t="str">
        <x:v>Pending</x:v>
      </x:c>
      <x:c r="J94" s="24" t="str"/>
      <x:c r="K94" s="26" t="n">
        <x:f>COUNTIFS('Scene Links'!$B$7:$B$545,A94)</x:f>
        <x:v>5</x:v>
      </x:c>
    </x:row>
    <x:row r="95" ht="36" hidden="0" customHeight="1">
      <x:c r="A95" s="22" t="str">
        <x:v>PS-PRP-PACKTACK</x:v>
      </x:c>
      <x:c r="B95" s="22" t="str">
        <x:v>Prop kit</x:v>
      </x:c>
      <x:c r="C95" s="18" t="str">
        <x:v>Donkey pack saddles and tied baggage</x:v>
      </x:c>
      <x:c r="D95" s="22" t="str">
        <x:v>PS-ANM-PACKDONKEY</x:v>
      </x:c>
      <x:c r="E95" s="18" t="str">
        <x:v>Simple pack saddle, woven pads, cord ties and trade bundles proportionate to donkey.</x:v>
      </x:c>
      <x:c r="F95" s="18" t="str">
        <x:v>Trade goods arrive S2–3; younger’s bedding loaded S7. No modern buckles/luggage.</x:v>
      </x:c>
      <x:c r="G95" s="18" t="str">
        <x:v>PS-S02, PS-S03, PS-S07, PS-S08</x:v>
      </x:c>
      <x:c r="H95" s="18" t="str">
        <x:v>Overall object or kit, hand-scale reference and distinguishing detail; each required damage/fill/wear state. Match approved PS-ANM-PACKDONKEY.</x:v>
      </x:c>
      <x:c r="I95" s="24" t="str">
        <x:v>Pending</x:v>
      </x:c>
      <x:c r="J95" s="24" t="str"/>
      <x:c r="K95" s="25" t="n">
        <x:f>COUNTIFS('Scene Links'!$B$7:$B$545,A95)</x:f>
        <x:v>4</x:v>
      </x:c>
    </x:row>
    <x:row r="96" ht="24" hidden="0" customHeight="1">
      <x:c r="A96" s="23" t="str">
        <x:v>PS-PRP-RING</x:v>
      </x:c>
      <x:c r="B96" s="23" t="str">
        <x:v>Prop</x:v>
      </x:c>
      <x:c r="C96" s="17" t="str">
        <x:v>Restoration ring</x:v>
      </x:c>
      <x:c r="D96" s="23" t="str"/>
      <x:c r="E96" s="17" t="str">
        <x:v>Plain period-plausible ring scaled to younger’s hand. No unresearched crest, legal authority claim or modern stone setting.</x:v>
      </x:c>
      <x:c r="F96" s="17" t="str">
        <x:v>Placed on right hand S19; same hand/finger orientation in all later views. Final finger to be fixed at asset approval.</x:v>
      </x:c>
      <x:c r="G96" s="17" t="str">
        <x:v>PS-S19, PS-S20, PS-S21, PS-S22</x:v>
      </x:c>
      <x:c r="H96" s="17" t="str">
        <x:v>Overall object or kit, hand-scale reference and distinguishing detail; each required damage/fill/wear state.</x:v>
      </x:c>
      <x:c r="I96" s="24" t="str">
        <x:v>Pending</x:v>
      </x:c>
      <x:c r="J96" s="24" t="str"/>
      <x:c r="K96" s="26" t="n">
        <x:f>COUNTIFS('Scene Links'!$B$7:$B$545,A96)</x:f>
        <x:v>4</x:v>
      </x:c>
    </x:row>
    <x:row r="97" ht="24" hidden="0" customHeight="1">
      <x:c r="A97" s="22" t="str">
        <x:v>PS-PRP-ELDERBOWL</x:v>
      </x:c>
      <x:c r="B97" s="22" t="str">
        <x:v>Prop</x:v>
      </x:c>
      <x:c r="C97" s="18" t="str">
        <x:v>Elder’s food bowl</x:v>
      </x:c>
      <x:c r="D97" s="22" t="str"/>
      <x:c r="E97" s="18" t="str">
        <x:v>Simple durable food bowl distinguishable from washing bowl.</x:v>
      </x:c>
      <x:c r="F97" s="18" t="str">
        <x:v>Filled wall meals S11/S16; elder brings same S16 bowl back empty S20; sets it beside threshold; remains S21.</x:v>
      </x:c>
      <x:c r="G97" s="18" t="str">
        <x:v>PS-S11, PS-S16, PS-S20, PS-S21</x:v>
      </x:c>
      <x:c r="H97" s="18" t="str">
        <x:v>Overall object or kit, hand-scale reference and distinguishing detail; each required damage/fill/wear state.</x:v>
      </x:c>
      <x:c r="I97" s="24" t="str">
        <x:v>Pending</x:v>
      </x:c>
      <x:c r="J97" s="24" t="str"/>
      <x:c r="K97" s="25" t="n">
        <x:f>COUNTIFS('Scene Links'!$B$7:$B$545,A97)</x:f>
        <x:v>4</x:v>
      </x:c>
    </x:row>
    <x:row r="98" ht="24" hidden="0" customHeight="1">
      <x:c r="A98" s="23" t="str">
        <x:v>PS-PRP-SERVINGBOWL</x:v>
      </x:c>
      <x:c r="B98" s="23" t="str">
        <x:v>Prop</x:v>
      </x:c>
      <x:c r="C98" s="17" t="str">
        <x:v>Fuller bowl for hired workers</x:v>
      </x:c>
      <x:c r="D98" s="23" t="str"/>
      <x:c r="E98" s="17" t="str">
        <x:v>Practical shared serving bowl carried from family meal to workers.</x:v>
      </x:c>
      <x:c r="F98" s="17" t="str">
        <x:v>S4 full; S15 memory uses same S4 bowl/action. Routine meal S11 consistent.</x:v>
      </x:c>
      <x:c r="G98" s="17" t="str">
        <x:v>PS-S04, PS-S11, PS-S15</x:v>
      </x:c>
      <x:c r="H98" s="17" t="str">
        <x:v>Overall object or kit, hand-scale reference and distinguishing detail; each required damage/fill/wear state.</x:v>
      </x:c>
      <x:c r="I98" s="24" t="str">
        <x:v>Pending</x:v>
      </x:c>
      <x:c r="J98" s="24" t="str"/>
      <x:c r="K98" s="26" t="n">
        <x:f>COUNTIFS('Scene Links'!$B$7:$B$545,A98)</x:f>
        <x:v>3</x:v>
      </x:c>
    </x:row>
    <x:row r="99" ht="24" hidden="0" customHeight="1">
      <x:c r="A99" s="22" t="str">
        <x:v>PS-PRP-MARKETSCALE</x:v>
      </x:c>
      <x:c r="B99" s="22" t="str">
        <x:v>Prop</x:v>
      </x:c>
      <x:c r="C99" s="18" t="str">
        <x:v>Bread seller’s scale and flour measure</x:v>
      </x:c>
      <x:c r="D99" s="22" t="str"/>
      <x:c r="E99" s="18" t="str">
        <x:v>Practical small food balance and dry flour measure; materials match market stalls.</x:v>
      </x:c>
      <x:c r="F99" s="18" t="str">
        <x:v>Bread weighing S9; careful flour leveling/portioning S13.</x:v>
      </x:c>
      <x:c r="G99" s="18" t="str">
        <x:v>PS-S09, PS-S13</x:v>
      </x:c>
      <x:c r="H99" s="18" t="str">
        <x:v>Overall object or kit, hand-scale reference and distinguishing detail; each required damage/fill/wear state.</x:v>
      </x:c>
      <x:c r="I99" s="24" t="str">
        <x:v>Pending</x:v>
      </x:c>
      <x:c r="J99" s="24" t="str"/>
      <x:c r="K99" s="25" t="n">
        <x:f>COUNTIFS('Scene Links'!$B$7:$B$545,A99)</x:f>
        <x:v>2</x:v>
      </x:c>
    </x:row>
    <x:row r="100" ht="24" hidden="0" customHeight="1">
      <x:c r="A100" s="23" t="str">
        <x:v>PS-PRP-CLOTHDISPLAY</x:v>
      </x:c>
      <x:c r="B100" s="23" t="str">
        <x:v>Prop / dressing</x:v>
      </x:c>
      <x:c r="C100" s="17" t="str">
        <x:v>Cloth seller’s bolts and display</x:v>
      </x:c>
      <x:c r="D100" s="23" t="str"/>
      <x:c r="E100" s="17" t="str">
        <x:v>Textile bolts/lengths on timber stall, including selectable blue-bordered mantle and trader surface for russet sale.</x:v>
      </x:c>
      <x:c r="F100" s="17" t="str">
        <x:v>Abundant S9; russet unfolded S12. No printed modern fabric or retail tags.</x:v>
      </x:c>
      <x:c r="G100" s="17" t="str">
        <x:v>PS-S09, PS-S12</x:v>
      </x:c>
      <x:c r="H100" s="17" t="str">
        <x:v>Overall object or kit, hand-scale reference and distinguishing detail; each required damage/fill/wear state.</x:v>
      </x:c>
      <x:c r="I100" s="24" t="str">
        <x:v>Pending</x:v>
      </x:c>
      <x:c r="J100" s="24" t="str"/>
      <x:c r="K100" s="26" t="n">
        <x:f>COUNTIFS('Scene Links'!$B$7:$B$545,A100)</x:f>
        <x:v>2</x:v>
      </x:c>
    </x:row>
    <x:row r="101" ht="24" hidden="0" customHeight="1">
      <x:c r="A101" s="22" t="str">
        <x:v>PS-PRP-TAVERNWARE</x:v>
      </x:c>
      <x:c r="B101" s="22" t="str">
        <x:v>Prop kit</x:v>
      </x:c>
      <x:c r="C101" s="18" t="str">
        <x:v>Foreign banquet dishes, cups and jug</x:v>
      </x:c>
      <x:c r="D101" s="22" t="str"/>
      <x:c r="E101" s="18" t="str">
        <x:v>Ordinary ceramic tableware with serving dishes and wine jug.</x:v>
      </x:c>
      <x:c r="F101" s="18" t="str">
        <x:v>Filled welcome S9; wine spill, barely eaten dishes and last wine S10; blocked bread dish S12.</x:v>
      </x:c>
      <x:c r="G101" s="18" t="str">
        <x:v>PS-S09, PS-S10, PS-S12</x:v>
      </x:c>
      <x:c r="H101" s="18" t="str">
        <x:v>Overall object or kit, hand-scale reference and distinguishing detail; each required damage/fill/wear state.</x:v>
      </x:c>
      <x:c r="I101" s="24" t="str">
        <x:v>Pending</x:v>
      </x:c>
      <x:c r="J101" s="24" t="str"/>
      <x:c r="K101" s="25" t="n">
        <x:f>COUNTIFS('Scene Links'!$B$7:$B$545,A101)</x:f>
        <x:v>3</x:v>
      </x:c>
    </x:row>
    <x:row r="102" ht="24" hidden="0" customHeight="1">
      <x:c r="A102" s="23" t="str">
        <x:v>PS-PRP-PIPEDRUMFOREIGN</x:v>
      </x:c>
      <x:c r="B102" s="23" t="str">
        <x:v>Prop kit</x:v>
      </x:c>
      <x:c r="C102" s="17" t="str">
        <x:v>Foreign pipe and hand drum</x:v>
      </x:c>
      <x:c r="D102" s="23" t="str"/>
      <x:c r="E102" s="17" t="str">
        <x:v>Small period-plausible pipe and hand drum; exact construction awaits historical visual-development check.</x:v>
      </x:c>
      <x:c r="F102" s="17" t="str">
        <x:v>Musicians hold and play naturally; no modern instrument fittings.</x:v>
      </x:c>
      <x:c r="G102" s="17" t="str">
        <x:v>PS-S10</x:v>
      </x:c>
      <x:c r="H102" s="17" t="str">
        <x:v>Overall object or kit, hand-scale reference and distinguishing detail; each required damage/fill/wear state.</x:v>
      </x:c>
      <x:c r="I102" s="24" t="str">
        <x:v>Pending</x:v>
      </x:c>
      <x:c r="J102" s="24" t="str"/>
      <x:c r="K102" s="26" t="n">
        <x:f>COUNTIFS('Scene Links'!$B$7:$B$545,A102)</x:f>
        <x:v>1</x:v>
      </x:c>
    </x:row>
    <x:row r="103" ht="24" hidden="0" customHeight="1">
      <x:c r="A103" s="22" t="str">
        <x:v>PS-PRP-PIPEDRUMHOME</x:v>
      </x:c>
      <x:c r="B103" s="22" t="str">
        <x:v>Prop kit</x:v>
      </x:c>
      <x:c r="C103" s="18" t="str">
        <x:v>Home feast pipe and hand drum</x:v>
      </x:c>
      <x:c r="D103" s="22" t="str"/>
      <x:c r="E103" s="18" t="str">
        <x:v>Small local pipe and hand drum, historically plausible and clearly distinct from modern orchestral instruments.</x:v>
      </x:c>
      <x:c r="F103" s="18" t="str">
        <x:v>Stable positions during continuous evening; same instruments across scenes.</x:v>
      </x:c>
      <x:c r="G103" s="18" t="str">
        <x:v>PS-S19, PS-S20, PS-S21, PS-S22</x:v>
      </x:c>
      <x:c r="H103" s="18" t="str">
        <x:v>Overall object or kit, hand-scale reference and distinguishing detail; each required damage/fill/wear state.</x:v>
      </x:c>
      <x:c r="I103" s="24" t="str">
        <x:v>Pending</x:v>
      </x:c>
      <x:c r="J103" s="24" t="str"/>
      <x:c r="K103" s="25" t="n">
        <x:f>COUNTIFS('Scene Links'!$B$7:$B$545,A103)</x:f>
        <x:v>4</x:v>
      </x:c>
    </x:row>
    <x:row r="104" ht="24" hidden="0" customHeight="1">
      <x:c r="A104" s="23" t="str">
        <x:v>PS-PRP-MERCHANTJAR</x:v>
      </x:c>
      <x:c r="B104" s="23" t="str">
        <x:v>Prop</x:v>
      </x:c>
      <x:c r="C104" s="17" t="str">
        <x:v>Heavy jar carried for merchant</x:v>
      </x:c>
      <x:c r="D104" s="23" t="str"/>
      <x:c r="E104" s="17" t="str">
        <x:v>Heavy practical storage jar that younger can barely carry, separate from home water jar.</x:v>
      </x:c>
      <x:c r="F104" s="17" t="str">
        <x:v>Merchant receives it and shuts door without paying.</x:v>
      </x:c>
      <x:c r="G104" s="17" t="str">
        <x:v>PS-S13</x:v>
      </x:c>
      <x:c r="H104" s="17" t="str">
        <x:v>Overall object or kit, hand-scale reference and distinguishing detail; each required damage/fill/wear state.</x:v>
      </x:c>
      <x:c r="I104" s="24" t="str">
        <x:v>Pending</x:v>
      </x:c>
      <x:c r="J104" s="24" t="str"/>
      <x:c r="K104" s="26" t="n">
        <x:f>COUNTIFS('Scene Links'!$B$7:$B$545,A104)</x:f>
        <x:v>1</x:v>
      </x:c>
    </x:row>
    <x:row r="105" ht="24" hidden="0" customHeight="1">
      <x:c r="A105" s="22" t="str">
        <x:v>PS-PRP-SLEDGE</x:v>
      </x:c>
      <x:c r="B105" s="22" t="str">
        <x:v>Prop</x:v>
      </x:c>
      <x:c r="C105" s="18" t="str">
        <x:v>Family’s hand-dragged sledge</x:v>
      </x:c>
      <x:c r="D105" s="22" t="str"/>
      <x:c r="E105" s="18" t="str">
        <x:v>Simple wooden drag sledge with modest household bundles.</x:v>
      </x:c>
      <x:c r="F105" s="18" t="str">
        <x:v>Last belongings loaded; no wheeled modern cart.</x:v>
      </x:c>
      <x:c r="G105" s="18" t="str">
        <x:v>PS-S13</x:v>
      </x:c>
      <x:c r="H105" s="18" t="str">
        <x:v>Overall object or kit, hand-scale reference and distinguishing detail; each required damage/fill/wear state.</x:v>
      </x:c>
      <x:c r="I105" s="24" t="str">
        <x:v>Pending</x:v>
      </x:c>
      <x:c r="J105" s="24" t="str"/>
      <x:c r="K105" s="25" t="n">
        <x:f>COUNTIFS('Scene Links'!$B$7:$B$545,A105)</x:f>
        <x:v>1</x:v>
      </x:c>
    </x:row>
    <x:row r="106" ht="24" hidden="0" customHeight="1">
      <x:c r="A106" s="23" t="str">
        <x:v>PS-PRP-CISTERNROPE</x:v>
      </x:c>
      <x:c r="B106" s="23" t="str">
        <x:v>Prop kit</x:v>
      </x:c>
      <x:c r="C106" s="17" t="str">
        <x:v>Cistern rope and raised water jar</x:v>
      </x:c>
      <x:c r="D106" s="23" t="str"/>
      <x:c r="E106" s="17" t="str">
        <x:v>Plant-fiber rope and robust water vessel with credible attachment.</x:v>
      </x:c>
      <x:c r="F106" s="17" t="str">
        <x:v>Load opens left palm; father takes rope and steadies jar before washing hand.</x:v>
      </x:c>
      <x:c r="G106" s="17" t="str">
        <x:v>PS-S14</x:v>
      </x:c>
      <x:c r="H106" s="17" t="str">
        <x:v>Overall object or kit, hand-scale reference and distinguishing detail; each required damage/fill/wear state.</x:v>
      </x:c>
      <x:c r="I106" s="24" t="str">
        <x:v>Pending</x:v>
      </x:c>
      <x:c r="J106" s="24" t="str"/>
      <x:c r="K106" s="26" t="n">
        <x:f>COUNTIFS('Scene Links'!$B$7:$B$545,A106)</x:f>
        <x:v>1</x:v>
      </x:c>
    </x:row>
    <x:row r="107" ht="24" hidden="0" customHeight="1">
      <x:c r="A107" s="22" t="str">
        <x:v>PS-PRP-PIGFEEDBASKET</x:v>
      </x:c>
      <x:c r="B107" s="22" t="str">
        <x:v>Prop</x:v>
      </x:c>
      <x:c r="C107" s="18" t="str">
        <x:v>Foreign farm feed basket</x:v>
      </x:c>
      <x:c r="D107" s="22" t="str"/>
      <x:c r="E107" s="18" t="str">
        <x:v>Large practical feed basket distinguishable from home’s repaired basket.</x:v>
      </x:c>
      <x:c r="F107" s="18" t="str">
        <x:v>Carries dry pods, empties into trough, left at gate at departure.</x:v>
      </x:c>
      <x:c r="G107" s="18" t="str">
        <x:v>PS-S15</x:v>
      </x:c>
      <x:c r="H107" s="18" t="str">
        <x:v>Overall object or kit, hand-scale reference and distinguishing detail; each required damage/fill/wear state.</x:v>
      </x:c>
      <x:c r="I107" s="24" t="str">
        <x:v>Pending</x:v>
      </x:c>
      <x:c r="J107" s="24" t="str"/>
      <x:c r="K107" s="25" t="n">
        <x:f>COUNTIFS('Scene Links'!$B$7:$B$545,A107)</x:f>
        <x:v>1</x:v>
      </x:c>
    </x:row>
    <x:row r="108" ht="36" hidden="0" customHeight="1">
      <x:c r="A108" s="23" t="str">
        <x:v>PS-PRP-TROUGH</x:v>
      </x:c>
      <x:c r="B108" s="23" t="str">
        <x:v>Prop / dressing</x:v>
      </x:c>
      <x:c r="C108" s="17" t="str">
        <x:v>Pig trough and rails</x:v>
      </x:c>
      <x:c r="D108" s="23" t="str">
        <x:v>PS-LOC-PIGFARM</x:v>
      </x:c>
      <x:c r="E108" s="17" t="str">
        <x:v>Rough timber/stone feeding trough and rails enabling realistic domestic pigs to feed.</x:v>
      </x:c>
      <x:c r="F108" s="17" t="str">
        <x:v>Damp refuse and pods at feed surface; pod accessible before pig takes it.</x:v>
      </x:c>
      <x:c r="G108" s="17" t="str">
        <x:v>PS-S15</x:v>
      </x:c>
      <x:c r="H108" s="17" t="str">
        <x:v>Overall object or kit, hand-scale reference and distinguishing detail; each required damage/fill/wear state. Match approved PS-LOC-PIGFARM.</x:v>
      </x:c>
      <x:c r="I108" s="24" t="str">
        <x:v>Pending</x:v>
      </x:c>
      <x:c r="J108" s="24" t="str"/>
      <x:c r="K108" s="26" t="n">
        <x:f>COUNTIFS('Scene Links'!$B$7:$B$545,A108)</x:f>
        <x:v>1</x:v>
      </x:c>
    </x:row>
    <x:row r="109" ht="24" hidden="0" customHeight="1">
      <x:c r="A109" s="22" t="str">
        <x:v>PS-PRP-RESTORATIONSTOOL</x:v>
      </x:c>
      <x:c r="B109" s="22" t="str">
        <x:v>Prop</x:v>
      </x:c>
      <x:c r="C109" s="18" t="str">
        <x:v>Low restoration stool</x:v>
      </x:c>
      <x:c r="D109" s="22" t="str"/>
      <x:c r="E109" s="18" t="str">
        <x:v>Plain low wooden stool suitable for seated foot washing and robe dressing.</x:v>
      </x:c>
      <x:c r="F109" s="18" t="str">
        <x:v>Placed in courtyard care area; no ceremonial throne.</x:v>
      </x:c>
      <x:c r="G109" s="18" t="str">
        <x:v>PS-S19</x:v>
      </x:c>
      <x:c r="H109" s="18" t="str">
        <x:v>Overall object or kit, hand-scale reference and distinguishing detail; each required damage/fill/wear state.</x:v>
      </x:c>
      <x:c r="I109" s="24" t="str">
        <x:v>Pending</x:v>
      </x:c>
      <x:c r="J109" s="24" t="str"/>
      <x:c r="K109" s="25" t="n">
        <x:f>COUNTIFS('Scene Links'!$B$7:$B$545,A109)</x:f>
        <x:v>1</x:v>
      </x:c>
    </x:row>
    <x:row r="110" ht="24" hidden="0" customHeight="1">
      <x:c r="A110" s="23" t="str">
        <x:v>PS-PRP-TWOCUPS</x:v>
      </x:c>
      <x:c r="B110" s="23" t="str">
        <x:v>Prop</x:v>
      </x:c>
      <x:c r="C110" s="17" t="str">
        <x:v>Two cups younger carries</x:v>
      </x:c>
      <x:c r="D110" s="23" t="str"/>
      <x:c r="E110" s="17" t="str">
        <x:v>Two ordinary household cups recognizable in hand-to-table action.</x:v>
      </x:c>
      <x:c r="F110" s="17" t="str">
        <x:v>Given instead of heavy jar S19; both deposited carefully and remain in table arrangement.</x:v>
      </x:c>
      <x:c r="G110" s="17" t="str">
        <x:v>PS-S19, PS-S20, PS-S21, PS-S22</x:v>
      </x:c>
      <x:c r="H110" s="17" t="str">
        <x:v>Overall object or kit, hand-scale reference and distinguishing detail; each required damage/fill/wear state.</x:v>
      </x:c>
      <x:c r="I110" s="24" t="str">
        <x:v>Pending</x:v>
      </x:c>
      <x:c r="J110" s="24" t="str"/>
      <x:c r="K110" s="26" t="n">
        <x:f>COUNTIFS('Scene Links'!$B$7:$B$545,A110)</x:f>
        <x:v>4</x:v>
      </x:c>
    </x:row>
    <x:row r="111" ht="24" hidden="0" customHeight="1">
      <x:c r="A111" s="22" t="str">
        <x:v>PS-SET-HOMEVESSELS</x:v>
      </x:c>
      <x:c r="B111" s="22" t="str">
        <x:v>Set dressing</x:v>
      </x:c>
      <x:c r="C111" s="18" t="str">
        <x:v>Home jars, cups and storage vessels</x:v>
      </x:c>
      <x:c r="D111" s="22" t="str"/>
      <x:c r="E111" s="18" t="str">
        <x:v>Ceramic storage/cooking vessels with restrained limestone cups, baskets and practical lids. Dated early Roman Judean forms.</x:v>
      </x:c>
      <x:c r="F111" s="18" t="str">
        <x:v>Grain jars under awning, water at kitchen; emptied vessels sorted S18; coherent re-use at feast.</x:v>
      </x:c>
      <x:c r="G111" s="18" t="str">
        <x:v>PS-S03, PS-S04, PS-S06, PS-S11, PS-S14, PS-S18, PS-S19, PS-S20, PS-S21, PS-S22</x:v>
      </x:c>
      <x:c r="H111" s="18" t="str">
        <x:v>Overall grouped dressing reference, material/construction details and installed placement in canonical location.</x:v>
      </x:c>
      <x:c r="I111" s="24" t="str">
        <x:v>Pending</x:v>
      </x:c>
      <x:c r="J111" s="24" t="str"/>
      <x:c r="K111" s="25" t="n">
        <x:f>COUNTIFS('Scene Links'!$B$7:$B$545,A111)</x:f>
        <x:v>10</x:v>
      </x:c>
    </x:row>
    <x:row r="112" ht="24" hidden="0" customHeight="1">
      <x:c r="A112" s="23" t="str">
        <x:v>PS-SET-HOMETABLE</x:v>
      </x:c>
      <x:c r="B112" s="23" t="str">
        <x:v>Set dressing</x:v>
      </x:c>
      <x:c r="C112" s="17" t="str">
        <x:v>Home low table and seating</x:v>
      </x:c>
      <x:c r="D112" s="23" t="str"/>
      <x:c r="E112" s="17" t="str">
        <x:v>Low wooden family/work tables, stools and benches suited to modest rural rooms/courtyard.</x:v>
      </x:c>
      <x:c r="F112" s="17" t="str">
        <x:v>S4 family layout, S5 abandoned supper, S15 exact memory; feast arrangement keeps elder’s empty place and sightline.</x:v>
      </x:c>
      <x:c r="G112" s="17" t="str">
        <x:v>PS-S04, PS-S05, PS-S11, PS-S15, PS-S19, PS-S20, PS-S21, PS-S22</x:v>
      </x:c>
      <x:c r="H112" s="17" t="str">
        <x:v>Overall grouped dressing reference, material/construction details and installed placement in canonical location.</x:v>
      </x:c>
      <x:c r="I112" s="24" t="str">
        <x:v>Pending</x:v>
      </x:c>
      <x:c r="J112" s="24" t="str"/>
      <x:c r="K112" s="26" t="n">
        <x:f>COUNTIFS('Scene Links'!$B$7:$B$545,A112)</x:f>
        <x:v>8</x:v>
      </x:c>
    </x:row>
    <x:row r="113" ht="24" hidden="0" customHeight="1">
      <x:c r="A113" s="22" t="str">
        <x:v>PS-SET-HOMELAMPS</x:v>
      </x:c>
      <x:c r="B113" s="22" t="str">
        <x:v>Set dressing</x:v>
      </x:c>
      <x:c r="C113" s="18" t="str">
        <x:v>Home oil lamps and oil</x:v>
      </x:c>
      <x:c r="D113" s="22" t="str"/>
      <x:c r="E113" s="18" t="str">
        <x:v>Herodian-type terracotta oil lamps with localized practical flame. No glass hurricane lamps or medieval candles as primary source.</x:v>
      </x:c>
      <x:c r="F113" s="18" t="str">
        <x:v>S4 lit; S5 one extinguished and one forgotten; S19 filled at dusk; stable night light positions.</x:v>
      </x:c>
      <x:c r="G113" s="18" t="str">
        <x:v>PS-S04, PS-S05, PS-S19, PS-S20, PS-S21, PS-S22</x:v>
      </x:c>
      <x:c r="H113" s="18" t="str">
        <x:v>Overall grouped dressing reference, material/construction details and installed placement in canonical location.</x:v>
      </x:c>
      <x:c r="I113" s="24" t="str">
        <x:v>Pending</x:v>
      </x:c>
      <x:c r="J113" s="24" t="str"/>
      <x:c r="K113" s="25" t="n">
        <x:f>COUNTIFS('Scene Links'!$B$7:$B$545,A113)</x:f>
        <x:v>6</x:v>
      </x:c>
    </x:row>
    <x:row r="114" ht="24" hidden="0" customHeight="1">
      <x:c r="A114" s="23" t="str">
        <x:v>PS-SET-COOKING</x:v>
      </x:c>
      <x:c r="B114" s="23" t="str">
        <x:v>Set dressing</x:v>
      </x:c>
      <x:c r="C114" s="17" t="str">
        <x:v>Household cooking hearth and equipment</x:v>
      </x:c>
      <x:c r="D114" s="23" t="str"/>
      <x:c r="E114" s="17" t="str">
        <x:v>Working cooking area, clay pots, utensils, fuel and fire surface.</x:v>
      </x:c>
      <x:c r="F114" s="17" t="str">
        <x:v>Routine food before departure; S19 fire settles to cooking heat for calf meal.</x:v>
      </x:c>
      <x:c r="G114" s="17" t="str">
        <x:v>PS-S03, PS-S04, PS-S19</x:v>
      </x:c>
      <x:c r="H114" s="17" t="str">
        <x:v>Overall grouped dressing reference, material/construction details and installed placement in canonical location.</x:v>
      </x:c>
      <x:c r="I114" s="24" t="str">
        <x:v>Pending</x:v>
      </x:c>
      <x:c r="J114" s="24" t="str"/>
      <x:c r="K114" s="26" t="n">
        <x:f>COUNTIFS('Scene Links'!$B$7:$B$545,A114)</x:f>
        <x:v>3</x:v>
      </x:c>
    </x:row>
    <x:row r="115" ht="36" hidden="0" customHeight="1">
      <x:c r="A115" s="22" t="str">
        <x:v>PS-SET-HOMEAWNING</x:v>
      </x:c>
      <x:c r="B115" s="22" t="str">
        <x:v>Set dressing</x:v>
      </x:c>
      <x:c r="C115" s="18" t="str">
        <x:v>Home awning and textile coverings</x:v>
      </x:c>
      <x:c r="D115" s="22" t="str">
        <x:v>PS-LOC-COURTYARD</x:v>
      </x:c>
      <x:c r="E115" s="18" t="str">
        <x:v>Practical shade cloth, jar/meal coverings, repaired cordage and storage textiles.</x:v>
      </x:c>
      <x:c r="F115" s="18" t="str">
        <x:v>Consistent placement; workers’ meal covering lifted S11.</x:v>
      </x:c>
      <x:c r="G115" s="18" t="str">
        <x:v>PS-S03, PS-S06, PS-S11, PS-S14, PS-S19</x:v>
      </x:c>
      <x:c r="H115" s="18" t="str">
        <x:v>Overall grouped dressing reference, material/construction details and installed placement in canonical location. Match approved PS-LOC-COURTYARD.</x:v>
      </x:c>
      <x:c r="I115" s="24" t="str">
        <x:v>Pending</x:v>
      </x:c>
      <x:c r="J115" s="24" t="str"/>
      <x:c r="K115" s="25" t="n">
        <x:f>COUNTIFS('Scene Links'!$B$7:$B$545,A115)</x:f>
        <x:v>5</x:v>
      </x:c>
    </x:row>
    <x:row r="116" ht="36" hidden="0" customHeight="1">
      <x:c r="A116" s="23" t="str">
        <x:v>PS-SET-TOWNSTOCK</x:v>
      </x:c>
      <x:c r="B116" s="23" t="str">
        <x:v>Set dressing</x:v>
      </x:c>
      <x:c r="C116" s="17" t="str">
        <x:v>Market sacks, awnings and stalls</x:v>
      </x:c>
      <x:c r="D116" s="23" t="str">
        <x:v>PS-LOC-MARKET</x:v>
      </x:c>
      <x:c r="E116" s="17" t="str">
        <x:v>Timber stalls, textile awnings, pottery and grain sacks with believable handwritten-free trade display.</x:v>
      </x:c>
      <x:c r="F116" s="17" t="str">
        <x:v>S9 full trade; S13 empty gaps beneath same awnings and closed grain store.</x:v>
      </x:c>
      <x:c r="G116" s="17" t="str">
        <x:v>PS-S09, PS-S12, PS-S13</x:v>
      </x:c>
      <x:c r="H116" s="17" t="str">
        <x:v>Overall grouped dressing reference, material/construction details and installed placement in canonical location. Match approved PS-LOC-MARKET.</x:v>
      </x:c>
      <x:c r="I116" s="24" t="str">
        <x:v>Pending</x:v>
      </x:c>
      <x:c r="J116" s="24" t="str"/>
      <x:c r="K116" s="26" t="n">
        <x:f>COUNTIFS('Scene Links'!$B$7:$B$545,A116)</x:f>
        <x:v>3</x:v>
      </x:c>
    </x:row>
    <x:row r="117" ht="36" hidden="0" customHeight="1">
      <x:c r="A117" s="22" t="str">
        <x:v>PS-SET-ROOMPEG</x:v>
      </x:c>
      <x:c r="B117" s="22" t="str">
        <x:v>Set dressing</x:v>
      </x:c>
      <x:c r="C117" s="18" t="str">
        <x:v>Room garment peg</x:v>
      </x:c>
      <x:c r="D117" s="22" t="str">
        <x:v>PS-LOC-RENTEDROOM</x:v>
      </x:c>
      <x:c r="E117" s="18" t="str">
        <x:v>Plain wall/wood peg at fixed position in mirrorless room.</x:v>
      </x:c>
      <x:c r="F117" s="18" t="str">
        <x:v>Russet mantle hangs S10 and removed from same peg S12.</x:v>
      </x:c>
      <x:c r="G117" s="18" t="str">
        <x:v>PS-S10, PS-S12</x:v>
      </x:c>
      <x:c r="H117" s="18" t="str">
        <x:v>Overall grouped dressing reference, material/construction details and installed placement in canonical location. Match approved PS-LOC-RENTEDROOM.</x:v>
      </x:c>
      <x:c r="I117" s="24" t="str">
        <x:v>Pending</x:v>
      </x:c>
      <x:c r="J117" s="24" t="str"/>
      <x:c r="K117" s="25" t="n">
        <x:f>COUNTIFS('Scene Links'!$B$7:$B$545,A117)</x:f>
        <x:v>2</x:v>
      </x:c>
    </x:row>
    <x:row r="118" ht="36" hidden="0" customHeight="1">
      <x:c r="A118" s="23" t="str">
        <x:v>PS-SET-FEASTSEATING</x:v>
      </x:c>
      <x:c r="B118" s="23" t="str">
        <x:v>Set dressing</x:v>
      </x:c>
      <x:c r="C118" s="17" t="str">
        <x:v>Neighbors’ additional feast seating</x:v>
      </x:c>
      <x:c r="D118" s="23" t="str">
        <x:v>PS-LOC-FEAST</x:v>
      </x:c>
      <x:c r="E118" s="17" t="str">
        <x:v>Assorted ordinary stools and benches carried in by neighbors, consistent scale and worn construction.</x:v>
      </x:c>
      <x:c r="F118" s="17" t="str">
        <x:v>Added during S19 prep; keep final arrangement and entrance passage clear.</x:v>
      </x:c>
      <x:c r="G118" s="17" t="str">
        <x:v>PS-S19, PS-S20, PS-S21, PS-S22</x:v>
      </x:c>
      <x:c r="H118" s="17" t="str">
        <x:v>Overall grouped dressing reference, material/construction details and installed placement in canonical location. Match approved PS-LOC-FEAST.</x:v>
      </x:c>
      <x:c r="I118" s="24" t="str">
        <x:v>Pending</x:v>
      </x:c>
      <x:c r="J118" s="24" t="str"/>
      <x:c r="K118" s="26" t="n">
        <x:f>COUNTIFS('Scene Links'!$B$7:$B$545,A118)</x:f>
        <x:v>4</x:v>
      </x:c>
    </x:row>
    <x:row r="119" ht="36" hidden="0" customHeight="1">
      <x:c r="A119" s="22" t="str">
        <x:v>PS-SET-FOREIGNMEAL</x:v>
      </x:c>
      <x:c r="B119" s="22" t="str">
        <x:v>Set dressing</x:v>
      </x:c>
      <x:c r="C119" s="18" t="str">
        <x:v>Foreign household meal dishes</x:v>
      </x:c>
      <x:c r="D119" s="22" t="str">
        <x:v>PS-LOC-PIGFARM</x:v>
      </x:c>
      <x:c r="E119" s="18" t="str">
        <x:v>A few bowls and food vessels beyond pig enclosure boundary.</x:v>
      </x:c>
      <x:c r="F119" s="18" t="str">
        <x:v>Bowl passes person to person before door closes; do not turn meal into luxury feast.</x:v>
      </x:c>
      <x:c r="G119" s="18" t="str">
        <x:v>PS-S15</x:v>
      </x:c>
      <x:c r="H119" s="18" t="str">
        <x:v>Overall grouped dressing reference, material/construction details and installed placement in canonical location. Match approved PS-LOC-PIGFARM.</x:v>
      </x:c>
      <x:c r="I119" s="24" t="str">
        <x:v>Pending</x:v>
      </x:c>
      <x:c r="J119" s="24" t="str"/>
      <x:c r="K119" s="25" t="n">
        <x:f>COUNTIFS('Scene Links'!$B$7:$B$545,A119)</x:f>
        <x:v>1</x:v>
      </x:c>
    </x:row>
    <x:row r="120" ht="24" hidden="0" customHeight="1">
      <x:c r="A120" s="23" t="str">
        <x:v>PS-FOD-HOMEBREAD</x:v>
      </x:c>
      <x:c r="B120" s="23" t="str">
        <x:v>Food</x:v>
      </x:c>
      <x:c r="C120" s="17" t="str">
        <x:v>Home bread</x:v>
      </x:c>
      <x:c r="D120" s="23" t="str"/>
      <x:c r="E120" s="17" t="str">
        <x:v>Plausible barley/wheat bread with natural crust and hand-torn portions; no modern sliced loaf.</x:v>
      </x:c>
      <x:c r="F120" s="17" t="str">
        <x:v>S1 shared piece; S4 father divides/crushes piece; S7 wrapped bread; S15 empty cloth and exact S4 memory; feast fresh bread.</x:v>
      </x:c>
      <x:c r="G120" s="17" t="str">
        <x:v>PS-S01, PS-S04, PS-S07, PS-S11, PS-S15, PS-S16, PS-S19, PS-S20, PS-S21, PS-S22</x:v>
      </x:c>
      <x:c r="H120" s="17" t="str">
        <x:v>Ingredient/portion reference, serving context and required fresh/depleted/cooked states; hero food detail.</x:v>
      </x:c>
      <x:c r="I120" s="24" t="str">
        <x:v>Pending</x:v>
      </x:c>
      <x:c r="J120" s="24" t="str"/>
      <x:c r="K120" s="26" t="n">
        <x:f>COUNTIFS('Scene Links'!$B$7:$B$545,A120)</x:f>
        <x:v>10</x:v>
      </x:c>
    </x:row>
    <x:row r="121" ht="24" hidden="0" customHeight="1">
      <x:c r="A121" s="22" t="str">
        <x:v>PS-FOD-HOMEMEALS</x:v>
      </x:c>
      <x:c r="B121" s="22" t="str">
        <x:v>Food</x:v>
      </x:c>
      <x:c r="C121" s="18" t="str">
        <x:v>Lentils, olives and household meals</x:v>
      </x:c>
      <x:c r="D121" s="22" t="str"/>
      <x:c r="E121" s="18" t="str">
        <x:v>Bread, pulses, olives, water and modest wine as appropriate. Dried fruit only if used in approved set dressing.</x:v>
      </x:c>
      <x:c r="F121" s="18" t="str">
        <x:v>S4 supper stops untouched; S11 and S16 wall bowls; S15 original workers’ meal memory; S19 feast accompaniments.</x:v>
      </x:c>
      <x:c r="G121" s="18" t="str">
        <x:v>PS-S04, PS-S11, PS-S15, PS-S16, PS-S19, PS-S20, PS-S21, PS-S22</x:v>
      </x:c>
      <x:c r="H121" s="18" t="str">
        <x:v>Ingredient/portion reference, serving context and required fresh/depleted/cooked states; hero food detail.</x:v>
      </x:c>
      <x:c r="I121" s="24" t="str">
        <x:v>Pending</x:v>
      </x:c>
      <x:c r="J121" s="24" t="str"/>
      <x:c r="K121" s="25" t="n">
        <x:f>COUNTIFS('Scene Links'!$B$7:$B$545,A121)</x:f>
        <x:v>8</x:v>
      </x:c>
    </x:row>
    <x:row r="122" ht="24" hidden="0" customHeight="1">
      <x:c r="A122" s="23" t="str">
        <x:v>PS-FOD-GRAIN</x:v>
      </x:c>
      <x:c r="B122" s="23" t="str">
        <x:v>Food / dressing</x:v>
      </x:c>
      <x:c r="C122" s="17" t="str">
        <x:v>Stored grain and spill</x:v>
      </x:c>
      <x:c r="D122" s="23" t="str"/>
      <x:c r="E122" s="17" t="str">
        <x:v>Barley/wheat grain in jars/baskets, matching stubble season.</x:v>
      </x:c>
      <x:c r="F122" s="17" t="str">
        <x:v>S14 small spill from loosened handle, gathered by elder. No maize kernels or cobs.</x:v>
      </x:c>
      <x:c r="G122" s="17" t="str">
        <x:v>PS-S03, PS-S06, PS-S14</x:v>
      </x:c>
      <x:c r="H122" s="17" t="str">
        <x:v>Ingredient/portion reference, serving context and required fresh/depleted/cooked states; hero food detail.</x:v>
      </x:c>
      <x:c r="I122" s="24" t="str">
        <x:v>Pending</x:v>
      </x:c>
      <x:c r="J122" s="24" t="str"/>
      <x:c r="K122" s="26" t="n">
        <x:f>COUNTIFS('Scene Links'!$B$7:$B$545,A122)</x:f>
        <x:v>3</x:v>
      </x:c>
    </x:row>
    <x:row r="123" ht="24" hidden="0" customHeight="1">
      <x:c r="A123" s="22" t="str">
        <x:v>PS-FOD-TRAVEL</x:v>
      </x:c>
      <x:c r="B123" s="22" t="str">
        <x:v>Food</x:v>
      </x:c>
      <x:c r="C123" s="18" t="str">
        <x:v>Departure and roadside food portions</x:v>
      </x:c>
      <x:c r="D123" s="22" t="str"/>
      <x:c r="E123" s="18" t="str">
        <x:v>Modest wrapped provisions and small roadside food exchange.</x:v>
      </x:c>
      <x:c r="F123" s="18" t="str">
        <x:v>Departure adequate; mantle trades for little food early S17. Avoid invented full meal restoring health.</x:v>
      </x:c>
      <x:c r="G123" s="18" t="str">
        <x:v>PS-S06, PS-S07, PS-S08, PS-S17</x:v>
      </x:c>
      <x:c r="H123" s="18" t="str">
        <x:v>Ingredient/portion reference, serving context and required fresh/depleted/cooked states; hero food detail.</x:v>
      </x:c>
      <x:c r="I123" s="24" t="str">
        <x:v>Pending</x:v>
      </x:c>
      <x:c r="J123" s="24" t="str"/>
      <x:c r="K123" s="25" t="n">
        <x:f>COUNTIFS('Scene Links'!$B$7:$B$545,A123)</x:f>
        <x:v>4</x:v>
      </x:c>
    </x:row>
    <x:row r="124" ht="24" hidden="0" customHeight="1">
      <x:c r="A124" s="23" t="str">
        <x:v>PS-FOD-FOREIGNBANQUET</x:v>
      </x:c>
      <x:c r="B124" s="23" t="str">
        <x:v>Food</x:v>
      </x:c>
      <x:c r="C124" s="17" t="str">
        <x:v>Foreign meals and wine</x:v>
      </x:c>
      <x:c r="D124" s="23" t="str"/>
      <x:c r="E124" s="17" t="str">
        <x:v>Plausible regional bread, ordinary dishes and wine, with excessive quantity expressed by waste rather than anachronistic luxury foods.</x:v>
      </x:c>
      <x:c r="F124" s="17" t="str">
        <x:v>S10 barely eaten food, wine spill, last wine; S12 food held back until new payment.</x:v>
      </x:c>
      <x:c r="G124" s="17" t="str">
        <x:v>PS-S09, PS-S10, PS-S12</x:v>
      </x:c>
      <x:c r="H124" s="17" t="str">
        <x:v>Ingredient/portion reference, serving context and required fresh/depleted/cooked states; hero food detail.</x:v>
      </x:c>
      <x:c r="I124" s="24" t="str">
        <x:v>Pending</x:v>
      </x:c>
      <x:c r="J124" s="24" t="str"/>
      <x:c r="K124" s="26" t="n">
        <x:f>COUNTIFS('Scene Links'!$B$7:$B$545,A124)</x:f>
        <x:v>3</x:v>
      </x:c>
    </x:row>
    <x:row r="125" ht="24" hidden="0" customHeight="1">
      <x:c r="A125" s="22" t="str">
        <x:v>PS-FOD-MARKETBREAD</x:v>
      </x:c>
      <x:c r="B125" s="22" t="str">
        <x:v>Food</x:v>
      </x:c>
      <x:c r="C125" s="18" t="str">
        <x:v>Market bread and flour portions</x:v>
      </x:c>
      <x:c r="D125" s="22" t="str"/>
      <x:c r="E125" s="18" t="str">
        <x:v>Small bread portions, reserved heel and measured flour, with recurring stall presentation.</x:v>
      </x:c>
      <x:c r="F125" s="18" t="str">
        <x:v>Plenty S9; yesterday’s loaf subdivided S13; Damon shares half; seller finally has none.</x:v>
      </x:c>
      <x:c r="G125" s="18" t="str">
        <x:v>PS-S09, PS-S13</x:v>
      </x:c>
      <x:c r="H125" s="18" t="str">
        <x:v>Ingredient/portion reference, serving context and required fresh/depleted/cooked states; hero food detail.</x:v>
      </x:c>
      <x:c r="I125" s="24" t="str">
        <x:v>Pending</x:v>
      </x:c>
      <x:c r="J125" s="24" t="str"/>
      <x:c r="K125" s="25" t="n">
        <x:f>COUNTIFS('Scene Links'!$B$7:$B$545,A125)</x:f>
        <x:v>2</x:v>
      </x:c>
    </x:row>
    <x:row r="126" ht="24" hidden="0" customHeight="1">
      <x:c r="A126" s="23" t="str">
        <x:v>PS-FOD-PODS</x:v>
      </x:c>
      <x:c r="B126" s="23" t="str">
        <x:v>Food / prop</x:v>
      </x:c>
      <x:c r="C126" s="17" t="str">
        <x:v>Dry feed pods and dropped hero pod</x:v>
      </x:c>
      <x:c r="D126" s="23" t="str"/>
      <x:c r="E126" s="17" t="str">
        <x:v>Dry carob-like feed pods as plausible interpretation of Luke’s pods. Distinct hero pod with damp refuse surface.</x:v>
      </x:c>
      <x:c r="F126" s="17" t="str">
        <x:v>Basket to trough; younger rubs one pod, raises it, drops it; pig takes it. He does not visibly eat it.</x:v>
      </x:c>
      <x:c r="G126" s="17" t="str">
        <x:v>PS-S15</x:v>
      </x:c>
      <x:c r="H126" s="17" t="str">
        <x:v>Ingredient/portion reference, serving context and required fresh/depleted/cooked states; hero food detail.</x:v>
      </x:c>
      <x:c r="I126" s="24" t="str">
        <x:v>Pending</x:v>
      </x:c>
      <x:c r="J126" s="24" t="str"/>
      <x:c r="K126" s="26" t="n">
        <x:f>COUNTIFS('Scene Links'!$B$7:$B$545,A126)</x:f>
        <x:v>1</x:v>
      </x:c>
    </x:row>
    <x:row r="127" ht="36" hidden="0" customHeight="1">
      <x:c r="A127" s="22" t="str">
        <x:v>PS-FOD-CALFMEAT</x:v>
      </x:c>
      <x:c r="B127" s="22" t="str">
        <x:v>Food</x:v>
      </x:c>
      <x:c r="C127" s="18" t="str">
        <x:v>Cooked calf feast portions</x:v>
      </x:c>
      <x:c r="D127" s="22" t="str">
        <x:v>PS-ANM-CALF</x:v>
      </x:c>
      <x:c r="E127" s="18" t="str">
        <x:v>Jointed calf portions cooking and served at feast, with ordinary preparation equipment. No whole-animal roast or instant finished feast.</x:v>
      </x:c>
      <x:c r="F127" s="18" t="str">
        <x:v>Animal led out first; slaughter offscreen; allow compressed preparation time before cooked food appears. No live calf during feast.</x:v>
      </x:c>
      <x:c r="G127" s="18" t="str">
        <x:v>PS-S19, PS-S20, PS-S21, PS-S22</x:v>
      </x:c>
      <x:c r="H127" s="18" t="str">
        <x:v>Ingredient/portion reference, serving context and required fresh/depleted/cooked states; hero food detail. Match approved PS-ANM-CALF.</x:v>
      </x:c>
      <x:c r="I127" s="24" t="str">
        <x:v>Pending</x:v>
      </x:c>
      <x:c r="J127" s="24" t="str"/>
      <x:c r="K127" s="25" t="n">
        <x:f>COUNTIFS('Scene Links'!$B$7:$B$545,A127)</x:f>
        <x:v>4</x:v>
      </x:c>
    </x:row>
    <x:row r="128" ht="36" hidden="0" customHeight="1">
      <x:c r="A128" s="23" t="str">
        <x:v>PS-INS-SUPPERMEMORY</x:v>
      </x:c>
      <x:c r="B128" s="23" t="str">
        <x:v>Insert</x:v>
      </x:c>
      <x:c r="C128" s="17" t="str">
        <x:v>Silent supper memory from S4</x:v>
      </x:c>
      <x:c r="D128" s="23" t="str">
        <x:v>PS-LOC-SUPPER</x:v>
      </x:c>
      <x:c r="E128" s="17" t="str">
        <x:v>Reuse approved S4 action/reference: father’s hand divides bread and Hannah carries fuller bowl to workers.</x:v>
      </x:c>
      <x:c r="F128" s="17" t="str">
        <x:v>Match original actors, clothes, dishes and lighting. No new idealized memory set.</x:v>
      </x:c>
      <x:c r="G128" s="17" t="str">
        <x:v>PS-S15</x:v>
      </x:c>
      <x:c r="H128" s="17" t="str">
        <x:v>Reuse approved PS-S04 references: PS-CHR-FATHER, PS-WAR-FATHER, PS-CHR-HANNAH, PS-PRP-SERVINGBOWL, PS-FOD-HOMEBREAD, PS-LOC-SUPPER.</x:v>
      </x:c>
      <x:c r="I128" s="24" t="str">
        <x:v>Pending</x:v>
      </x:c>
      <x:c r="J128" s="24" t="str"/>
      <x:c r="K128" s="26" t="n">
        <x:f>COUNTIFS('Scene Links'!$B$7:$B$545,A128)</x:f>
        <x:v>1</x:v>
      </x:c>
    </x:row>
    <x:row r="129" ht="36" hidden="0" customHeight="1">
      <x:c r="A129" s="22" t="str">
        <x:v>PS-INS-BASKETMEMORY</x:v>
      </x:c>
      <x:c r="B129" s="22" t="str">
        <x:v>Insert</x:v>
      </x:c>
      <x:c r="C129" s="18" t="str">
        <x:v>Silent basket memory from S2</x:v>
      </x:c>
      <x:c r="D129" s="22" t="str">
        <x:v>PS-LOC-TERRACE</x:v>
      </x:c>
      <x:c r="E129" s="18" t="str">
        <x:v>Reuse approved S2 action/reference: elder sets down sound basket for Levi.</x:v>
      </x:c>
      <x:c r="F129" s="18" t="str">
        <x:v>Exact S2 wardrobe and wall state; no scar from later S16 inserted into memory.</x:v>
      </x:c>
      <x:c r="G129" s="18" t="str">
        <x:v>PS-S15</x:v>
      </x:c>
      <x:c r="H129" s="18" t="str">
        <x:v>Reuse approved PS-S02 references: PS-CHR-ELDER, PS-WAR-ELDER, PS-CHR-LEVI, PS-PRP-BASKETSOUND, PS-LOC-TERRACE.</x:v>
      </x:c>
      <x:c r="I129" s="24" t="str">
        <x:v>Pending</x:v>
      </x:c>
      <x:c r="J129" s="24" t="str"/>
      <x:c r="K129" s="25" t="n">
        <x:f>COUNTIFS('Scene Links'!$B$7:$B$545,A129)</x:f>
        <x:v>1</x:v>
      </x:c>
    </x:row>
    <x:row r="130" ht="24" hidden="0" customHeight="1">
      <x:c r="A130" s="23" t="str">
        <x:v>PS-GFX-TITLE</x:v>
      </x:c>
      <x:c r="B130" s="23" t="str">
        <x:v>Graphic</x:v>
      </x:c>
      <x:c r="C130" s="17" t="str">
        <x:v>Film title typography</x:v>
      </x:c>
      <x:c r="D130" s="23" t="str"/>
      <x:c r="E130" s="17" t="str">
        <x:v>Readable composited title: THE PRODIGAL SON. Typeface and placement require later graphic approval.</x:v>
      </x:c>
      <x:c r="F130" s="17" t="str">
        <x:v>Appears over journey landscape and clears before town scene. Never generated as text inside scenery.</x:v>
      </x:c>
      <x:c r="G130" s="17" t="str">
        <x:v>PS-S08</x:v>
      </x:c>
      <x:c r="H130" s="17" t="str">
        <x:v>Editable typography master, transparent title layer or black credit master, and readable timing proof; no generated lettering.</x:v>
      </x:c>
      <x:c r="I130" s="24" t="str">
        <x:v>Pending</x:v>
      </x:c>
      <x:c r="J130" s="24" t="str"/>
      <x:c r="K130" s="26" t="n">
        <x:f>COUNTIFS('Scene Links'!$B$7:$B$545,A130)</x:f>
        <x:v>1</x:v>
      </x:c>
    </x:row>
    <x:row r="131" ht="24" hidden="0" customHeight="1">
      <x:c r="A131" s="22" t="str">
        <x:v>PS-GFX-CREDITS</x:v>
      </x:c>
      <x:c r="B131" s="22" t="str">
        <x:v>Graphic</x:v>
      </x:c>
      <x:c r="C131" s="18" t="str">
        <x:v>End credits over black</x:v>
      </x:c>
      <x:c r="D131" s="22" t="str"/>
      <x:c r="E131" s="18" t="str">
        <x:v>Readable composited credits on black with accurate final cast/crew fields supplied at finishing.</x:v>
      </x:c>
      <x:c r="F131" s="18" t="str">
        <x:v>30 seconds allocated. Credit names and typography pending; no invented production credits.</x:v>
      </x:c>
      <x:c r="G131" s="18" t="str">
        <x:v>PS-S23</x:v>
      </x:c>
      <x:c r="H131" s="18" t="str">
        <x:v>Editable typography master, transparent title layer or black credit master, and readable timing proof; no generated lettering.</x:v>
      </x:c>
      <x:c r="I131" s="24" t="str">
        <x:v>Pending</x:v>
      </x:c>
      <x:c r="J131" s="24" t="str"/>
      <x:c r="K131" s="25" t="n">
        <x:f>COUNTIFS('Scene Links'!$B$7:$B$545,A131)</x:f>
        <x:v>1</x:v>
      </x:c>
    </x:row>
    <x:row r="132" ht="24" hidden="0" customHeight="1">
      <x:c r="A132" s="23" t="str">
        <x:v>PS-EXT-PASSTRAVELER</x:v>
      </x:c>
      <x:c r="B132" s="23" t="str">
        <x:v>Featured extra</x:v>
      </x:c>
      <x:c r="C132" s="17" t="str">
        <x:v>Traveler passing home entrance</x:v>
      </x:c>
      <x:c r="D132" s="23" t="str"/>
      <x:c r="E132" s="17" t="str">
        <x:v>Ordinary passing traveler seen from terrace; distinguish from younger and avoid an accidental false homecoming identity.</x:v>
      </x:c>
      <x:c r="F132" s="17" t="str">
        <x:v>Continues without entering farm.</x:v>
      </x:c>
      <x:c r="G132" s="17" t="str">
        <x:v>PS-S11</x:v>
      </x:c>
      <x:c r="H132" s="17" t="str">
        <x:v>Face front, three-quarter and profile; full body front/back; stable identity details.</x:v>
      </x:c>
      <x:c r="I132" s="24" t="str">
        <x:v>Pending</x:v>
      </x:c>
      <x:c r="J132" s="24" t="str"/>
      <x:c r="K132" s="26" t="n">
        <x:f>COUNTIFS('Scene Links'!$B$7:$B$545,A132)</x:f>
        <x:v>1</x:v>
      </x:c>
    </x:row>
    <x:row r="133" ht="24" hidden="0" customHeight="1">
      <x:c r="A133" s="22" t="str">
        <x:v>PS-PRP-HOMEWATERJAR</x:v>
      </x:c>
      <x:c r="B133" s="22" t="str">
        <x:v>Prop</x:v>
      </x:c>
      <x:c r="C133" s="18" t="str">
        <x:v>Home water jar younger tries to lift</x:v>
      </x:c>
      <x:c r="D133" s="22" t="str"/>
      <x:c r="E133" s="18" t="str">
        <x:v>Full practical water jar with plausible weight, distinguishable from two lightweight cups and from foreign merchant’s jar.</x:v>
      </x:c>
      <x:c r="F133" s="18" t="str">
        <x:v>Younger cannot lift steadily; Hannah redirects him to cups.</x:v>
      </x:c>
      <x:c r="G133" s="18" t="str">
        <x:v>PS-S19</x:v>
      </x:c>
      <x:c r="H133" s="18" t="str">
        <x:v>Overall object or kit, hand-scale reference and distinguishing detail; each required damage/fill/wear state.</x:v>
      </x:c>
      <x:c r="I133" s="24" t="str">
        <x:v>Pending</x:v>
      </x:c>
      <x:c r="J133" s="24" t="str"/>
      <x:c r="K133" s="25" t="n">
        <x:f>COUNTIFS('Scene Links'!$B$7:$B$545,A133)</x:f>
        <x:v>1</x:v>
      </x:c>
    </x:row>
    <x:row r="134" ht="24" hidden="0" customHeight="1">
      <x:c r="A134" s="23" t="str">
        <x:v>PS-LOC-RETURNSHELTER</x:v>
      </x:c>
      <x:c r="B134" s="23" t="str">
        <x:v>Location</x:v>
      </x:c>
      <x:c r="C134" s="17" t="str">
        <x:v>Return-road barter shelter</x:v>
      </x:c>
      <x:c r="D134" s="23" t="str">
        <x:v>PS-LOC-JOURNEY</x:v>
      </x:c>
      <x:c r="E134" s="17" t="str">
        <x:v>Simple roadside shelter with a place to exchange worn garment for little food. Same dry regional route as return; no invented inn.</x:v>
      </x:c>
      <x:c r="F134" s="17" t="str">
        <x:v>Earlier-return-journey insert within S17. Blue mantle appears only during exchange, then is absent.</x:v>
      </x:c>
      <x:c r="G134" s="17" t="str">
        <x:v>PS-S17</x:v>
      </x:c>
      <x:c r="H134" s="17" t="str">
        <x:v>Establishing reference, reverse direction and simple spatial layout; each required dressing/daylight state. Match approved PS-LOC-JOURNEY.</x:v>
      </x:c>
      <x:c r="I134" s="24" t="str">
        <x:v>Pending</x:v>
      </x:c>
      <x:c r="J134" s="24" t="str"/>
      <x:c r="K134" s="26" t="n">
        <x:f>COUNTIFS('Scene Links'!$B$7:$B$545,A134)</x:f>
        <x:v>1</x:v>
      </x:c>
    </x:row>
    <x:row r="135" ht="24" hidden="0" customHeight="1">
      <x:c r="A135" s="22" t="str">
        <x:v>PS-PRP-DAMAGEDBASKETS</x:v>
      </x:c>
      <x:c r="B135" s="22" t="str">
        <x:v>Prop kit</x:v>
      </x:c>
      <x:c r="C135" s="18" t="str">
        <x:v>Other damaged baskets being sorted</x:v>
      </x:c>
      <x:c r="D135" s="22" t="str"/>
      <x:c r="E135" s="18" t="str">
        <x:v>Small assortment of repairable work baskets distinct from both sound basket and younger’s hero handle repair.</x:v>
      </x:c>
      <x:c r="F135" s="18" t="str">
        <x:v>Elder takes over younger’s abandoned sorting work.</x:v>
      </x:c>
      <x:c r="G135" s="18" t="str">
        <x:v>PS-S06</x:v>
      </x:c>
      <x:c r="H135" s="18" t="str">
        <x:v>Overall object or kit, hand-scale reference and distinguishing detail; each required damage/fill/wear state.</x:v>
      </x:c>
      <x:c r="I135" s="24" t="str">
        <x:v>Pending</x:v>
      </x:c>
      <x:c r="J135" s="24" t="str"/>
      <x:c r="K135" s="25" t="n">
        <x:f>COUNTIFS('Scene Links'!$B$7:$B$545,A135)</x:f>
        <x:v>1</x:v>
      </x:c>
    </x:row>
  </x:sheetData>
  <x:conditionalFormatting sqref="I7:I135">
    <x:cfRule type="containsText" dxfId="0" priority="1" operator="containsText" text="Approved"/>
    <x:cfRule type="containsText" dxfId="1" priority="2" operator="containsText" text="Revise"/>
  </x:conditionalFormatting>
  <x:dataValidations count="1">
    <x:dataValidation type="list" sqref="I7:I135">
      <x:formula1>"Pending,In development,For review,Approved,Revise"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27ca0d045b43c4"/>
  </x:tableParts>
</x:worksheet>
</file>

<file path=xl/worksheets/sheet2.xml><?xml version="1.0" encoding="utf-8"?>
<x:worksheet xmlns:x="http://schemas.openxmlformats.org/spreadsheetml/2006/main">
  <x:sheetPr>
    <x:tabColor rgb="FF8B8068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32" hidden="0" customWidth="1"/>
    <x:col min="3" max="3" width="52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70" hidden="0" customWidth="1"/>
    <x:col min="10" max="10" width="5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Scene Runtime and Visual Breakdown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 t="str">
        <x:v>Film runtime</x:v>
      </x:c>
      <x:c r="B4" s="27" t="n">
        <x:f>SUM(E7:E29)/86400</x:f>
        <x:v>0.020833333333333332</x:v>
      </x:c>
      <x:c r="C4" s="2"/>
      <x:c r="D4" s="2" t="str">
        <x:v>Scene count</x:v>
      </x:c>
      <x:c r="E4" s="2" t="n">
        <x:f>COUNTA(A7:A29)</x:f>
        <x:v>23</x:v>
      </x:c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13" t="str">
        <x:v>Scene ID</x:v>
      </x:c>
      <x:c r="B6" s="14" t="str">
        <x:v>Scene title</x:v>
      </x:c>
      <x:c r="C6" s="14" t="str">
        <x:v>Setting</x:v>
      </x:c>
      <x:c r="D6" s="14" t="str">
        <x:v>Story time</x:v>
      </x:c>
      <x:c r="E6" s="14" t="str">
        <x:v>Seconds</x:v>
      </x:c>
      <x:c r="F6" s="14" t="str">
        <x:v>Duration</x:v>
      </x:c>
      <x:c r="G6" s="14" t="str">
        <x:v>Start</x:v>
      </x:c>
      <x:c r="H6" s="14" t="str">
        <x:v>End</x:v>
      </x:c>
      <x:c r="I6" s="14" t="str">
        <x:v>Visible action</x:v>
      </x:c>
      <x:c r="J6" s="15" t="str">
        <x:v>Continuity focus</x:v>
      </x:c>
    </x:row>
    <x:row r="7" ht="15" hidden="0" customHeight="1">
      <x:c r="A7" s="18" t="str">
        <x:v>PS-S01</x:v>
      </x:c>
      <x:c r="B7" s="18" t="str">
        <x:v>A man had two sons</x:v>
      </x:c>
      <x:c r="C7" s="18" t="str">
        <x:v>EXT. JUDEAN HILLSIDE — DAY</x:v>
      </x:c>
      <x:c r="D7" s="18" t="str">
        <x:v>Prologue</x:v>
      </x:c>
      <x:c r="E7" s="20" t="n">
        <x:v>45</x:v>
      </x:c>
      <x:c r="F7" s="28" t="n">
        <x:f>E7/86400</x:f>
        <x:v>0.0005208333333333333</x:v>
      </x:c>
      <x:c r="G7" s="28" t="n">
        <x:f>0</x:f>
        <x:v>0</x:v>
      </x:c>
      <x:c r="H7" s="28" t="n">
        <x:f>G7+F7</x:f>
        <x:v>0.0005208333333333333</x:v>
      </x:c>
      <x:c r="I7" s="18" t="str">
        <x:v>Listeners share bread; scribe objects quietly; Jesus introduces two sons.</x:v>
      </x:c>
      <x:c r="J7" s="18" t="str">
        <x:v>Living Jesus, no wounds; hillside is an invented telling location.</x:v>
      </x:c>
    </x:row>
    <x:row r="8" ht="15" hidden="0" customHeight="1">
      <x:c r="A8" s="17" t="str">
        <x:v>PS-S02</x:v>
      </x:c>
      <x:c r="B8" s="17" t="str">
        <x:v>The work between them</x:v>
      </x:c>
      <x:c r="C8" s="17" t="str">
        <x:v>EXT. FAMILY FARM — UPPER TERRACE — LATE AFTERNOON</x:v>
      </x:c>
      <x:c r="D8" s="17" t="str">
        <x:v>Day 1 late spring</x:v>
      </x:c>
      <x:c r="E8" s="21" t="n">
        <x:v>90</x:v>
      </x:c>
      <x:c r="F8" s="29" t="n">
        <x:f>E8/86400</x:f>
        <x:v>0.0010416666666666667</x:v>
      </x:c>
      <x:c r="G8" s="29" t="n">
        <x:f>H7</x:f>
        <x:v>0.0005208333333333333</x:v>
      </x:c>
      <x:c r="H8" s="29" t="n">
        <x:f>G8+F8</x:f>
        <x:v>0.0015625</x:v>
      </x:c>
      <x:c r="I8" s="17" t="str">
        <x:v>Brothers set wall stone; basket repair; father and pack party arrive.</x:v>
      </x:c>
      <x:c r="J8" s="17" t="str">
        <x:v>Long damaged wall. Younger repairs basket handle; elder exchanges sound basket.</x:v>
      </x:c>
    </x:row>
    <x:row r="9" ht="15" hidden="0" customHeight="1">
      <x:c r="A9" s="18" t="str">
        <x:v>PS-S03</x:v>
      </x:c>
      <x:c r="B9" s="18" t="str">
        <x:v>Two gifts</x:v>
      </x:c>
      <x:c r="C9" s="18" t="str">
        <x:v>EXT. FAMILY FARM — COURTYARD — LATE AFTERNOON</x:v>
      </x:c>
      <x:c r="D9" s="18" t="str">
        <x:v>Day 1</x:v>
      </x:c>
      <x:c r="E9" s="20" t="n">
        <x:v>85</x:v>
      </x:c>
      <x:c r="F9" s="28" t="n">
        <x:f>E9/86400</x:f>
        <x:v>0.0009837962962962962</x:v>
      </x:c>
      <x:c r="G9" s="28" t="n">
        <x:f>H8</x:f>
        <x:v>0.0015625</x:v>
      </x:c>
      <x:c r="H9" s="28" t="n">
        <x:f>G9+F9</x:f>
        <x:v>0.0025462962962962965</x:v>
      </x:c>
      <x:c r="I9" s="18" t="str">
        <x:v>Father greets both sons, gives equal-quality mantles, washes elder’s cut.</x:v>
      </x:c>
      <x:c r="J9" s="18" t="str">
        <x:v>Russet younger, olive elder. Split left palm; clean cloth dressing.</x:v>
      </x:c>
    </x:row>
    <x:row r="10" ht="15" hidden="0" customHeight="1">
      <x:c r="A10" s="17" t="str">
        <x:v>PS-S04</x:v>
      </x:c>
      <x:c r="B10" s="17" t="str">
        <x:v>The request</x:v>
      </x:c>
      <x:c r="C10" s="17" t="str">
        <x:v>INT. FAMILY HOUSE — SUPPER ROOM — EVENING</x:v>
      </x:c>
      <x:c r="D10" s="17" t="str">
        <x:v>Day 1</x:v>
      </x:c>
      <x:c r="E10" s="21" t="n">
        <x:v>135</x:v>
      </x:c>
      <x:c r="F10" s="29" t="n">
        <x:f>E10/86400</x:f>
        <x:v>0.0015625</x:v>
      </x:c>
      <x:c r="G10" s="29" t="n">
        <x:f>H9</x:f>
        <x:v>0.0025462962962962965</x:v>
      </x:c>
      <x:c r="H10" s="29" t="n">
        <x:f>G10+F10</x:f>
        <x:v>0.004108796296296296</x:v>
      </x:c>
      <x:c r="I10" s="17" t="str">
        <x:v>Shared supper breaks under inheritance request; father agrees to divide between both sons.</x:v>
      </x:c>
      <x:c r="J10" s="17" t="str">
        <x:v>Bread crumbles; meal untouched. Both sons receive bread.</x:v>
      </x:c>
    </x:row>
    <x:row r="11" ht="15" hidden="0" customHeight="1">
      <x:c r="A11" s="18" t="str">
        <x:v>PS-S05</x:v>
      </x:c>
      <x:c r="B11" s="18" t="str">
        <x:v>Brothers at the gate</x:v>
      </x:c>
      <x:c r="C11" s="18" t="str">
        <x:v>EXT. FAMILY FARM — COURTYARD ENTRANCE — NIGHT</x:v>
      </x:c>
      <x:c r="D11" s="18" t="str">
        <x:v>Day 1</x:v>
      </x:c>
      <x:c r="E11" s="20" t="n">
        <x:v>90</x:v>
      </x:c>
      <x:c r="F11" s="28" t="n">
        <x:f>E11/86400</x:f>
        <x:v>0.0010416666666666667</x:v>
      </x:c>
      <x:c r="G11" s="28" t="n">
        <x:f>H10</x:f>
        <x:v>0.004108796296296296</x:v>
      </x:c>
      <x:c r="H11" s="28" t="n">
        <x:f>G11+F11</x:f>
        <x:v>0.005150462962962963</x:v>
      </x:c>
      <x:c r="I11" s="18" t="str">
        <x:v>Brothers sit apart at threshold; elder gives repaired waterskin; father remains inside.</x:v>
      </x:c>
      <x:c r="J11" s="18" t="str">
        <x:v>Russet worn; waterskin seam established; one lamp out.</x:v>
      </x:c>
    </x:row>
    <x:row r="12" ht="15" hidden="0" customHeight="1">
      <x:c r="A12" s="17" t="str">
        <x:v>PS-S06</x:v>
      </x:c>
      <x:c r="B12" s="17" t="str">
        <x:v>The division</x:v>
      </x:c>
      <x:c r="C12" s="17" t="str">
        <x:v>INT. FAMILY HOUSE — STORE ROOM — DAY</x:v>
      </x:c>
      <x:c r="D12" s="17" t="str">
        <x:v>Day 2 and following days</x:v>
      </x:c>
      <x:c r="E12" s="21" t="n">
        <x:v>70</x:v>
      </x:c>
      <x:c r="F12" s="29" t="n">
        <x:f>E12/86400</x:f>
        <x:v>0.0008101851851851852</x:v>
      </x:c>
      <x:c r="G12" s="29" t="n">
        <x:f>H11</x:f>
        <x:v>0.005150462962962963</x:v>
      </x:c>
      <x:c r="H12" s="29" t="n">
        <x:f>G12+F12</x:f>
        <x:v>0.005960648148148148</x:v>
      </x:c>
      <x:c r="I12" s="17" t="str">
        <x:v>Document and silver division, packing, basket sorting and father/elder boundary walk.</x:v>
      </x:c>
      <x:c r="J12" s="17" t="str">
        <x:v>No new valuation; both shares visible; portable bundles transferred over days.</x:v>
      </x:c>
    </x:row>
    <x:row r="13" ht="15" hidden="0" customHeight="1">
      <x:c r="A13" s="18" t="str">
        <x:v>PS-S07</x:v>
      </x:c>
      <x:c r="B13" s="18" t="str">
        <x:v>Leaving</x:v>
      </x:c>
      <x:c r="C13" s="18" t="str">
        <x:v>EXT. FAMILY FARM — ROAD — DAWN</x:v>
      </x:c>
      <x:c r="D13" s="18" t="str">
        <x:v>Day 5</x:v>
      </x:c>
      <x:c r="E13" s="20" t="n">
        <x:v>60</x:v>
      </x:c>
      <x:c r="F13" s="28" t="n">
        <x:f>E13/86400</x:f>
        <x:v>0.0006944444444444445</x:v>
      </x:c>
      <x:c r="G13" s="28" t="n">
        <x:f>H12</x:f>
        <x:v>0.005960648148148148</x:v>
      </x:c>
      <x:c r="H13" s="28" t="n">
        <x:f>G13+F13</x:f>
        <x:v>0.006655092592592593</x:v>
      </x:c>
      <x:c r="I13" s="18" t="str">
        <x:v>Departure packing and embrace; younger leaves with carriers; father and elder stand together.</x:v>
      </x:c>
      <x:c r="J13" s="18" t="str">
        <x:v>Bread cloth, bedding, money and repaired waterskin depart with younger.</x:v>
      </x:c>
    </x:row>
    <x:row r="14" ht="15" hidden="0" customHeight="1">
      <x:c r="A14" s="17" t="str">
        <x:v>PS-S08</x:v>
      </x:c>
      <x:c r="B14" s="17" t="str">
        <x:v>The wider world</x:v>
      </x:c>
      <x:c r="C14" s="17" t="str">
        <x:v>EXT. ROADS BEYOND JUDEA — DAYS</x:v>
      </x:c>
      <x:c r="D14" s="17" t="str">
        <x:v>Journey over several days</x:v>
      </x:c>
      <x:c r="E14" s="21" t="n">
        <x:v>45</x:v>
      </x:c>
      <x:c r="F14" s="29" t="n">
        <x:f>E14/86400</x:f>
        <x:v>0.0005208333333333333</x:v>
      </x:c>
      <x:c r="G14" s="29" t="n">
        <x:f>H13</x:f>
        <x:v>0.006655092592592593</x:v>
      </x:c>
      <x:c r="H14" s="29" t="n">
        <x:f>G14+F14</x:f>
        <x:v>0.007175925925925926</x:v>
      </x:c>
      <x:c r="I14" s="17" t="str">
        <x:v>Road, cistern, fork; carrier receives generous coin; title over landscape.</x:v>
      </x:c>
      <x:c r="J14" s="17" t="str">
        <x:v>Same donkey/carriers; broad road toward town; russet still worn.</x:v>
      </x:c>
    </x:row>
    <x:row r="15" ht="15" hidden="0" customHeight="1">
      <x:c r="A15" s="18" t="str">
        <x:v>PS-S09</x:v>
      </x:c>
      <x:c r="B15" s="18" t="str">
        <x:v>A place at the table</x:v>
      </x:c>
      <x:c r="C15" s="18" t="str">
        <x:v>EXT. FOREIGN TOWN — MARKET STREET — DAY</x:v>
      </x:c>
      <x:c r="D15" s="18" t="str">
        <x:v>First week abroad</x:v>
      </x:c>
      <x:c r="E15" s="20" t="n">
        <x:v>75</x:v>
      </x:c>
      <x:c r="F15" s="28" t="n">
        <x:f>E15/86400</x:f>
        <x:v>0.0008680555555555555</x:v>
      </x:c>
      <x:c r="G15" s="28" t="n">
        <x:f>H14</x:f>
        <x:v>0.007175925925925926</x:v>
      </x:c>
      <x:c r="H15" s="28" t="n">
        <x:f>G15+F15</x:f>
        <x:v>0.008043981481481482</x:v>
      </x:c>
      <x:c r="I15" s="18" t="str">
        <x:v>Damon advises garment, bread bought generously, companions make a place.</x:v>
      </x:c>
      <x:c r="J15" s="18" t="str">
        <x:v>Blue-border mantle selected; russet still on younger at arrival.</x:v>
      </x:c>
    </x:row>
    <x:row r="16" ht="24" hidden="0" customHeight="1">
      <x:c r="A16" s="17" t="str">
        <x:v>PS-S10</x:v>
      </x:c>
      <x:c r="B16" s="17" t="str">
        <x:v>The cost of being welcomed</x:v>
      </x:c>
      <x:c r="C16" s="17" t="str">
        <x:v>INT. FOREIGN TOWN — RENTED ROOM AND BANQUET COURT — NIGHT</x:v>
      </x:c>
      <x:c r="D16" s="17" t="str">
        <x:v>Following weeks</x:v>
      </x:c>
      <x:c r="E16" s="21" t="n">
        <x:v>80</x:v>
      </x:c>
      <x:c r="F16" s="29" t="n">
        <x:f>E16/86400</x:f>
        <x:v>0.000925925925925926</x:v>
      </x:c>
      <x:c r="G16" s="29" t="n">
        <x:f>H15</x:f>
        <x:v>0.008043981481481482</x:v>
      </x:c>
      <x:c r="H16" s="29" t="n">
        <x:f>G16+F16</x:f>
        <x:v>0.008969907407407407</x:v>
      </x:c>
      <x:c r="I16" s="17" t="str">
        <x:v>Paid banquet and dance; wine spills; younger retrieves waterskin alone.</x:v>
      </x:c>
      <x:c r="J16" s="17" t="str">
        <x:v>Russet on room peg; blue worn and wine-stained; waterskin recovered.</x:v>
      </x:c>
    </x:row>
    <x:row r="17" ht="15" hidden="0" customHeight="1">
      <x:c r="A17" s="18" t="str">
        <x:v>PS-S11</x:v>
      </x:c>
      <x:c r="B17" s="18" t="str">
        <x:v>The son who remains</x:v>
      </x:c>
      <x:c r="C17" s="18" t="str">
        <x:v>EXT. FAMILY FARM — COURTYARD AND TERRACE — EVENING</x:v>
      </x:c>
      <x:c r="D17" s="18" t="str">
        <x:v>Some weeks after departure</x:v>
      </x:c>
      <x:c r="E17" s="20" t="n">
        <x:v>75</x:v>
      </x:c>
      <x:c r="F17" s="28" t="n">
        <x:f>E17/86400</x:f>
        <x:v>0.0008680555555555555</x:v>
      </x:c>
      <x:c r="G17" s="28" t="n">
        <x:f>H16</x:f>
        <x:v>0.008969907407407407</x:v>
      </x:c>
      <x:c r="H17" s="28" t="n">
        <x:f>G17+F17</x:f>
        <x:v>0.009837962962962963</x:v>
      </x:c>
      <x:c r="I17" s="18" t="str">
        <x:v>Father follows elder to wall with meal and olive mantle.</x:v>
      </x:c>
      <x:c r="J17" s="18" t="str">
        <x:v>Partly repaired wall, healing left palm, traveler passes entrance.</x:v>
      </x:c>
    </x:row>
    <x:row r="18" ht="15" hidden="0" customHeight="1">
      <x:c r="A18" s="17" t="str">
        <x:v>PS-S12</x:v>
      </x:c>
      <x:c r="B18" s="17" t="str">
        <x:v>The last silver</x:v>
      </x:c>
      <x:c r="C18" s="17" t="str">
        <x:v>INT. FOREIGN TOWN — LODGING AND STREET — DAYS</x:v>
      </x:c>
      <x:c r="D18" s="17" t="str">
        <x:v>Later weeks</x:v>
      </x:c>
      <x:c r="E18" s="21" t="n">
        <x:v>70</x:v>
      </x:c>
      <x:c r="F18" s="29" t="n">
        <x:f>E18/86400</x:f>
        <x:v>0.0008101851851851852</x:v>
      </x:c>
      <x:c r="G18" s="29" t="n">
        <x:f>H17</x:f>
        <x:v>0.009837962962962963</x:v>
      </x:c>
      <x:c r="H18" s="29" t="n">
        <x:f>G18+F18</x:f>
        <x:v>0.010648148148148148</x:v>
      </x:c>
      <x:c r="I18" s="17" t="str">
        <x:v>Coins dwindle; russet sold; host refuses more bread; younger takes bedding away.</x:v>
      </x:c>
      <x:c r="J18" s="17" t="str">
        <x:v>Two small final coins; blue mantle retained and worn; russet exits permanently.</x:v>
      </x:c>
    </x:row>
    <x:row r="19" ht="24" hidden="0" customHeight="1">
      <x:c r="A19" s="18" t="str">
        <x:v>PS-S13</x:v>
      </x:c>
      <x:c r="B19" s="18" t="str">
        <x:v>Hunger</x:v>
      </x:c>
      <x:c r="C19" s="18" t="str">
        <x:v>EXT. FOREIGN TOWN — MARKET AND OUTSKIRTS — DAYS</x:v>
      </x:c>
      <x:c r="D19" s="18" t="str">
        <x:v>Subsequent weeks of regional famine</x:v>
      </x:c>
      <x:c r="E19" s="20" t="n">
        <x:v>75</x:v>
      </x:c>
      <x:c r="F19" s="28" t="n">
        <x:f>E19/86400</x:f>
        <x:v>0.0008680555555555555</x:v>
      </x:c>
      <x:c r="G19" s="28" t="n">
        <x:f>H18</x:f>
        <x:v>0.010648148148148148</x:v>
      </x:c>
      <x:c r="H19" s="28" t="n">
        <x:f>G19+F19</x:f>
        <x:v>0.011516203703703704</x:v>
      </x:c>
      <x:c r="I19" s="18" t="str">
        <x:v>Depleted market, failed field, displacement and denied work; farmer offers pig-feed labor.</x:v>
      </x:c>
      <x:c r="J19" s="18" t="str">
        <x:v>Famine after spending; Damon also hungry; blue returned by bread seller.</x:v>
      </x:c>
    </x:row>
    <x:row r="20" ht="15" hidden="0" customHeight="1">
      <x:c r="A20" s="17" t="str">
        <x:v>PS-S14</x:v>
      </x:c>
      <x:c r="B20" s="17" t="str">
        <x:v>What duty has become</x:v>
      </x:c>
      <x:c r="C20" s="17" t="str">
        <x:v>EXT. FAMILY FARM — CISTERN AND STORE — DAY</x:v>
      </x:c>
      <x:c r="D20" s="17" t="str">
        <x:v>Same period at home</x:v>
      </x:c>
      <x:c r="E20" s="21" t="n">
        <x:v>70</x:v>
      </x:c>
      <x:c r="F20" s="29" t="n">
        <x:f>E20/86400</x:f>
        <x:v>0.0008101851851851852</x:v>
      </x:c>
      <x:c r="G20" s="29" t="n">
        <x:f>H19</x:f>
        <x:v>0.011516203703703704</x:v>
      </x:c>
      <x:c r="H20" s="29" t="n">
        <x:f>G20+F20</x:f>
        <x:v>0.012326388888888888</x:v>
      </x:c>
      <x:c r="I20" s="17" t="str">
        <x:v>Cistern load reopens palm; father washes hand; basket failure prompts rebuke and apology.</x:v>
      </x:c>
      <x:c r="J20" s="17" t="str">
        <x:v>Left-hand blood; old basket knot loosens; elder gathers grain and offers to mend.</x:v>
      </x:c>
    </x:row>
    <x:row r="21" ht="24" hidden="0" customHeight="1">
      <x:c r="A21" s="18" t="str">
        <x:v>PS-S15</x:v>
      </x:c>
      <x:c r="B21" s="18" t="str">
        <x:v>Coming to himself</x:v>
      </x:c>
      <x:c r="C21" s="18" t="str">
        <x:v>EXT. FOREIGN FARM — PIG ENCLOSURE — DAY INTO NIGHT</x:v>
      </x:c>
      <x:c r="D21" s="18" t="str">
        <x:v>Several days in service abroad</x:v>
      </x:c>
      <x:c r="E21" s="20" t="n">
        <x:v>105</x:v>
      </x:c>
      <x:c r="F21" s="28" t="n">
        <x:f>E21/86400</x:f>
        <x:v>0.0012152777777777778</x:v>
      </x:c>
      <x:c r="G21" s="28" t="n">
        <x:f>H20</x:f>
        <x:v>0.012326388888888888</x:v>
      </x:c>
      <x:c r="H21" s="28" t="n">
        <x:f>G21+F21</x:f>
        <x:v>0.013541666666666667</x:v>
      </x:c>
      <x:c r="I21" s="18" t="str">
        <x:v>Pigs eat pods; younger fails to take feed, finds empty bread cloth, remembers home, rehearses confession and leaves.</x:v>
      </x:c>
      <x:c r="J21" s="18" t="str">
        <x:v>Memory reuses S2/S4 exactly; blue mantle and waterskin retrieved; feed basket left at gate; personal bundle retained.</x:v>
      </x:c>
    </x:row>
    <x:row r="22" ht="24" hidden="0" customHeight="1">
      <x:c r="A22" s="17" t="str">
        <x:v>PS-S16</x:v>
      </x:c>
      <x:c r="B22" s="17" t="str">
        <x:v>The unfinished course</x:v>
      </x:c>
      <x:c r="C22" s="17" t="str">
        <x:v>EXT. FAMILY FARM — UPPER TERRACE — MID-AFTERNOON</x:v>
      </x:c>
      <x:c r="D22" s="17" t="str">
        <x:v>Homecoming day before the return</x:v>
      </x:c>
      <x:c r="E22" s="21" t="n">
        <x:v>75</x:v>
      </x:c>
      <x:c r="F22" s="29" t="n">
        <x:f>E22/86400</x:f>
        <x:v>0.0008680555555555555</x:v>
      </x:c>
      <x:c r="G22" s="29" t="n">
        <x:f>H21</x:f>
        <x:v>0.013541666666666667</x:v>
      </x:c>
      <x:c r="H22" s="29" t="n">
        <x:f>G22+F22</x:f>
        <x:v>0.014409722222222223</x:v>
      </x:c>
      <x:c r="I22" s="17" t="str">
        <x:v>Father brings food and olive mantle to nearly complete wall; elder resumes work. Later he collects small stones on far side of terrace, beyond ordinary path sightline.</x:v>
      </x:c>
      <x:c r="J22" s="17" t="str">
        <x:v>Short unfinished run. Left-palm scar; pale cuff mend.</x:v>
      </x:c>
    </x:row>
    <x:row r="23" ht="24" hidden="0" customHeight="1">
      <x:c r="A23" s="18" t="str">
        <x:v>PS-S17</x:v>
      </x:c>
      <x:c r="B23" s="18" t="str">
        <x:v>The way back</x:v>
      </x:c>
      <x:c r="C23" s="18" t="str">
        <x:v>EXT. ROAD TOWARD THE FAMILY FARM — DAY</x:v>
      </x:c>
      <x:c r="D23" s="18" t="str">
        <x:v>Return journey ending on homecoming day</x:v>
      </x:c>
      <x:c r="E23" s="20" t="n">
        <x:v>80</x:v>
      </x:c>
      <x:c r="F23" s="28" t="n">
        <x:f>E23/86400</x:f>
        <x:v>0.000925925925925926</x:v>
      </x:c>
      <x:c r="G23" s="28" t="n">
        <x:f>H22</x:f>
        <x:v>0.014409722222222223</x:v>
      </x:c>
      <x:c r="H23" s="28" t="n">
        <x:f>G23+F23</x:f>
        <x:v>0.015335648148148149</x:v>
      </x:c>
      <x:c r="I23" s="18" t="str">
        <x:v>Blue mantle traded for food; sandals fail and are left; younger retraces fork and approaches home.</x:v>
      </x:c>
      <x:c r="J23" s="18" t="str">
        <x:v>Repaired waterskin and empty bread cloth retained. Bare feet after discard.</x:v>
      </x:c>
    </x:row>
    <x:row r="24" ht="24" hidden="0" customHeight="1">
      <x:c r="A24" s="17" t="str">
        <x:v>PS-S18</x:v>
      </x:c>
      <x:c r="B24" s="17" t="str">
        <x:v>The father runs</x:v>
      </x:c>
      <x:c r="C24" s="17" t="str">
        <x:v>EXT. FAMILY FARM — COURTYARD ENTRANCE AND ROAD — MID-AFTERNOON</x:v>
      </x:c>
      <x:c r="D24" s="17" t="str">
        <x:v>Homecoming day</x:v>
      </x:c>
      <x:c r="E24" s="21" t="n">
        <x:v>120</x:v>
      </x:c>
      <x:c r="F24" s="29" t="n">
        <x:f>E24/86400</x:f>
        <x:v>0.001388888888888889</x:v>
      </x:c>
      <x:c r="G24" s="29" t="n">
        <x:f>H23</x:f>
        <x:v>0.015335648148148149</x:v>
      </x:c>
      <x:c r="H24" s="29" t="n">
        <x:f>G24+F24</x:f>
        <x:v>0.016724537037037038</x:v>
      </x:c>
      <x:c r="I24" s="17" t="str">
        <x:v>Father recognizes, runs, embraces and kisses; confession; robe/ring/sandals requested.</x:v>
      </x:c>
      <x:c r="J24" s="17" t="str">
        <x:v>Younger barefoot/ragged. Bundle set down. Dust transfers to father.</x:v>
      </x:c>
    </x:row>
    <x:row r="25" ht="24" hidden="0" customHeight="1">
      <x:c r="A25" s="18" t="str">
        <x:v>PS-S19</x:v>
      </x:c>
      <x:c r="B25" s="18" t="str">
        <x:v>Restored to the house</x:v>
      </x:c>
      <x:c r="C25" s="18" t="str">
        <x:v>EXT. FAMILY FARM — COURTYARD — MID-AFTERNOON INTO DUSK</x:v>
      </x:c>
      <x:c r="D25" s="18" t="str">
        <x:v>Homecoming day with several hours compressed</x:v>
      </x:c>
      <x:c r="E25" s="20" t="n">
        <x:v>90</x:v>
      </x:c>
      <x:c r="F25" s="28" t="n">
        <x:f>E25/86400</x:f>
        <x:v>0.0010416666666666667</x:v>
      </x:c>
      <x:c r="G25" s="28" t="n">
        <x:f>H24</x:f>
        <x:v>0.016724537037037038</x:v>
      </x:c>
      <x:c r="H25" s="28" t="n">
        <x:f>G25+F25</x:f>
        <x:v>0.017766203703703704</x:v>
      </x:c>
      <x:c r="I25" s="18" t="str">
        <x:v>Feet washed; robe/ring/sandals fitted; several hours of jointed calf preparation compressed; neighbors arrive; Levi sent near start of meal.</x:v>
      </x:c>
      <x:c r="J25" s="18" t="str">
        <x:v>Right-hand ring, new sandals, worn tunic under robe. Preparation time compressed.</x:v>
      </x:c>
    </x:row>
    <x:row r="26" ht="24" hidden="0" customHeight="1">
      <x:c r="A26" s="17" t="str">
        <x:v>PS-S20</x:v>
      </x:c>
      <x:c r="B26" s="17" t="str">
        <x:v>Outside the feast</x:v>
      </x:c>
      <x:c r="C26" s="17" t="str">
        <x:v>EXT. FAMILY FARM — FIELD PATH AND COURTYARD ENTRANCE — DUSK</x:v>
      </x:c>
      <x:c r="D26" s="17" t="str">
        <x:v>Homecoming evening</x:v>
      </x:c>
      <x:c r="E26" s="21" t="n">
        <x:v>65</x:v>
      </x:c>
      <x:c r="F26" s="29" t="n">
        <x:f>E26/86400</x:f>
        <x:v>0.0007523148148148148</x:v>
      </x:c>
      <x:c r="G26" s="29" t="n">
        <x:f>H25</x:f>
        <x:v>0.017766203703703704</x:v>
      </x:c>
      <x:c r="H26" s="29" t="n">
        <x:f>G26+F26</x:f>
        <x:v>0.018518518518518517</x:v>
      </x:c>
      <x:c r="I26" s="17" t="str">
        <x:v>Elder returns with empty bowl and olive mantle; Levi tells him; he stops outside feast.</x:v>
      </x:c>
      <x:c r="J26" s="17" t="str">
        <x:v>Olive carried; left scar pressed; bowl set beside threshold; feast continuous.</x:v>
      </x:c>
    </x:row>
    <x:row r="27" ht="15" hidden="0" customHeight="1">
      <x:c r="A27" s="18" t="str">
        <x:v>PS-S21</x:v>
      </x:c>
      <x:c r="B27" s="18" t="str">
        <x:v>The father comes out</x:v>
      </x:c>
      <x:c r="C27" s="18" t="str">
        <x:v>INT./EXT. FAMILY FARM — COURTYARD AND ENTRANCE — NIGHT</x:v>
      </x:c>
      <x:c r="D27" s="18" t="str">
        <x:v>Homecoming evening continuous</x:v>
      </x:c>
      <x:c r="E27" s="20" t="n">
        <x:v>145</x:v>
      </x:c>
      <x:c r="F27" s="28" t="n">
        <x:f>E27/86400</x:f>
        <x:v>0.0016782407407407408</x:v>
      </x:c>
      <x:c r="G27" s="28" t="n">
        <x:f>H26</x:f>
        <x:v>0.018518518518518517</x:v>
      </x:c>
      <x:c r="H27" s="28" t="n">
        <x:f>G27+F27</x:f>
        <x:v>0.020196759259259258</x:v>
      </x:c>
      <x:c r="I27" s="18" t="str">
        <x:v>Father leaves courtyard and hears elder’s grievance; affirms him and renews invitation.</x:v>
      </x:c>
      <x:c r="J27" s="18" t="str">
        <x:v>Father dusty; elder retains mantle; empty bowl at threshold; younger still wasted.</x:v>
      </x:c>
    </x:row>
    <x:row r="28" ht="15" hidden="0" customHeight="1">
      <x:c r="A28" s="17" t="str">
        <x:v>PS-S22</x:v>
      </x:c>
      <x:c r="B28" s="17" t="str">
        <x:v>The invitation remains</x:v>
      </x:c>
      <x:c r="C28" s="17" t="str">
        <x:v>EXT. FAMILY FARM — THRESHOLD — NIGHT</x:v>
      </x:c>
      <x:c r="D28" s="17" t="str">
        <x:v>Homecoming evening continuous</x:v>
      </x:c>
      <x:c r="E28" s="21" t="n">
        <x:v>25</x:v>
      </x:c>
      <x:c r="F28" s="29" t="n">
        <x:f>E28/86400</x:f>
        <x:v>0.00028935185185185184</x:v>
      </x:c>
      <x:c r="G28" s="29" t="n">
        <x:f>H27</x:f>
        <x:v>0.020196759259259258</x:v>
      </x:c>
      <x:c r="H28" s="29" t="n">
        <x:f>G28+F28</x:f>
        <x:v>0.02048611111111111</x:v>
      </x:c>
      <x:c r="I28" s="17" t="str">
        <x:v>Younger starts to stand; elder’s grip loosens; father leaves doorway clear.</x:v>
      </x:c>
      <x:c r="J28" s="17" t="str">
        <x:v>No crossing shown; invitation unresolved; positions continue from S21.</x:v>
      </x:c>
    </x:row>
    <x:row r="29" ht="15" hidden="0" customHeight="1">
      <x:c r="A29" s="18" t="str">
        <x:v>PS-S23</x:v>
      </x:c>
      <x:c r="B29" s="18" t="str">
        <x:v>End credits</x:v>
      </x:c>
      <x:c r="C29" s="18" t="str">
        <x:v>END CREDITS OVER BLACK</x:v>
      </x:c>
      <x:c r="D29" s="18" t="str">
        <x:v>Credits</x:v>
      </x:c>
      <x:c r="E29" s="20" t="n">
        <x:v>30</x:v>
      </x:c>
      <x:c r="F29" s="28" t="n">
        <x:f>E29/86400</x:f>
        <x:v>0.00034722222222222224</x:v>
      </x:c>
      <x:c r="G29" s="28" t="n">
        <x:f>H28</x:f>
        <x:v>0.02048611111111111</x:v>
      </x:c>
      <x:c r="H29" s="28" t="n">
        <x:f>G29+F29</x:f>
        <x:v>0.020833333333333332</x:v>
      </x:c>
      <x:c r="I29" s="18" t="str">
        <x:v>Readable credits over black with final audio coda.</x:v>
      </x:c>
      <x:c r="J29" s="18" t="str">
        <x:v>Typography composited in finishing; no images generated for credits.</x:v>
      </x:c>
    </x:row>
  </x:sheetData>
  <x:pageMargins left="0.7" right="0.7" top="0.75" bottom="0.75" header="0.3" footer="0.3"/>
  <x:tableParts count="1">
    <x:tablePart xmlns:r="http://schemas.openxmlformats.org/officeDocument/2006/relationships" r:id="Rcba2d4156beb4f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36" hidden="0" customWidth="1"/>
    <x:col min="4" max="4" width="100" hidden="0" customWidth="1"/>
  </x:cols>
  <x:sheetData>
    <x:row r="1">
      <x:c r="A1" s="2"/>
      <x:c r="B1" s="2"/>
      <x:c r="C1" s="2"/>
      <x:c r="D1" s="2"/>
    </x:row>
    <x:row r="2" ht="28" customHeight="1">
      <x:c r="A2" s="3" t="str">
        <x:v>Scene-to-Asset Links</x:v>
      </x:c>
      <x:c r="B2" s="2"/>
      <x:c r="C2" s="2"/>
      <x:c r="D2" s="2"/>
    </x:row>
    <x:row r="3">
      <x:c r="A3" s="4"/>
      <x:c r="B3" s="4"/>
      <x:c r="C3" s="4"/>
      <x:c r="D3" s="4"/>
    </x:row>
    <x:row r="4">
      <x:c r="A4" s="2" t="str">
        <x:v>Use one row per asset per scene. Filter Scene ID to collect its required visual references.</x:v>
      </x:c>
      <x:c r="B4" s="2"/>
      <x:c r="C4" s="2"/>
      <x:c r="D4" s="2"/>
    </x:row>
    <x:row r="5">
      <x:c r="A5" s="2"/>
      <x:c r="B5" s="2"/>
      <x:c r="C5" s="2"/>
      <x:c r="D5" s="2"/>
    </x:row>
    <x:row r="6" ht="32" customHeight="1">
      <x:c r="A6" s="13" t="str">
        <x:v>Scene ID</x:v>
      </x:c>
      <x:c r="B6" s="14" t="str">
        <x:v>Asset ID</x:v>
      </x:c>
      <x:c r="C6" s="14" t="str">
        <x:v>Asset name</x:v>
      </x:c>
      <x:c r="D6" s="15" t="str">
        <x:v>Scene-specific use</x:v>
      </x:c>
    </x:row>
    <x:row r="7" ht="15" hidden="0" customHeight="1">
      <x:c r="A7" s="18" t="str">
        <x:v>PS-S01</x:v>
      </x:c>
      <x:c r="B7" s="18" t="str">
        <x:v>PS-CHR-JESUS</x:v>
      </x:c>
      <x:c r="C7" s="18" t="str">
        <x:v>Jesus</x:v>
      </x:c>
      <x:c r="D7" s="18" t="str">
        <x:v>Teacher seated among listeners; face revealed after the scribe speaks.</x:v>
      </x:c>
    </x:row>
    <x:row r="8" ht="15" hidden="0" customHeight="1">
      <x:c r="A8" s="17" t="str">
        <x:v>PS-S01</x:v>
      </x:c>
      <x:c r="B8" s="17" t="str">
        <x:v>PS-CHR-SCRIBE</x:v>
      </x:c>
      <x:c r="C8" s="17" t="str">
        <x:v>Scribe</x:v>
      </x:c>
      <x:c r="D8" s="17" t="str">
        <x:v>Speaks quietly to companion and remains listening.</x:v>
      </x:c>
    </x:row>
    <x:row r="9" ht="15" hidden="0" customHeight="1">
      <x:c r="A9" s="18" t="str">
        <x:v>PS-S01</x:v>
      </x:c>
      <x:c r="B9" s="18" t="str">
        <x:v>PS-CHR-TAXCOLLECTOR</x:v>
      </x:c>
      <x:c r="C9" s="18" t="str">
        <x:v>Tax collector</x:v>
      </x:c>
      <x:c r="D9" s="18" t="str">
        <x:v>Makes room for elderly woman and gives bread to Jesus.</x:v>
      </x:c>
    </x:row>
    <x:row r="10" ht="15" hidden="0" customHeight="1">
      <x:c r="A10" s="17" t="str">
        <x:v>PS-S01</x:v>
      </x:c>
      <x:c r="B10" s="17" t="str">
        <x:v>PS-EXT-LISTENERS</x:v>
      </x:c>
      <x:c r="C10" s="17" t="str">
        <x:v>Hillside listeners and travelers</x:v>
      </x:c>
      <x:c r="D10" s="17" t="str">
        <x:v>Listeners share bread and road travelers slow.</x:v>
      </x:c>
    </x:row>
    <x:row r="11" ht="15" hidden="0" customHeight="1">
      <x:c r="A11" s="18" t="str">
        <x:v>PS-S01</x:v>
      </x:c>
      <x:c r="B11" s="18" t="str">
        <x:v>PS-FOD-HOMEBREAD</x:v>
      </x:c>
      <x:c r="C11" s="18" t="str">
        <x:v>Home bread</x:v>
      </x:c>
      <x:c r="D11" s="18" t="str">
        <x:v>Bread shared, withheld from oneself, remembered and served.</x:v>
      </x:c>
    </x:row>
    <x:row r="12" ht="15" hidden="0" customHeight="1">
      <x:c r="A12" s="17" t="str">
        <x:v>PS-S01</x:v>
      </x:c>
      <x:c r="B12" s="17" t="str">
        <x:v>PS-LOC-HILLSIDE</x:v>
      </x:c>
      <x:c r="C12" s="17" t="str">
        <x:v>Judean teaching hillside</x:v>
      </x:c>
      <x:c r="D12" s="17" t="str">
        <x:v>Sets teaching frame and mixed listeners.</x:v>
      </x:c>
    </x:row>
    <x:row r="13" ht="15" hidden="0" customHeight="1">
      <x:c r="A13" s="18" t="str">
        <x:v>PS-S01</x:v>
      </x:c>
      <x:c r="B13" s="18" t="str">
        <x:v>PS-WAR-JESUS</x:v>
      </x:c>
      <x:c r="C13" s="18" t="str">
        <x:v>Jesus’ living garments</x:v>
      </x:c>
      <x:c r="D13" s="18" t="str">
        <x:v>Living teacher’s clean prologue appearance.</x:v>
      </x:c>
    </x:row>
    <x:row r="14" ht="15" hidden="0" customHeight="1">
      <x:c r="A14" s="17" t="str">
        <x:v>PS-S02</x:v>
      </x:c>
      <x:c r="B14" s="17" t="str">
        <x:v>PS-ANM-PACKDONKEY</x:v>
      </x:c>
      <x:c r="C14" s="17" t="str">
        <x:v>Carriers’ pack donkey</x:v>
      </x:c>
      <x:c r="D14" s="17" t="str">
        <x:v>Carries travel bundles and bedding.</x:v>
      </x:c>
    </x:row>
    <x:row r="15" ht="15" hidden="0" customHeight="1">
      <x:c r="A15" s="18" t="str">
        <x:v>PS-S02</x:v>
      </x:c>
      <x:c r="B15" s="18" t="str">
        <x:v>PS-CHR-ELDER</x:v>
      </x:c>
      <x:c r="C15" s="18" t="str">
        <x:v>Elder son</x:v>
      </x:c>
      <x:c r="D15" s="18" t="str">
        <x:v>Elder present in family and field action.</x:v>
      </x:c>
    </x:row>
    <x:row r="16" ht="15" hidden="0" customHeight="1">
      <x:c r="A16" s="17" t="str">
        <x:v>PS-S02</x:v>
      </x:c>
      <x:c r="B16" s="17" t="str">
        <x:v>PS-CHR-FATHER</x:v>
      </x:c>
      <x:c r="C16" s="17" t="str">
        <x:v>Father</x:v>
      </x:c>
      <x:c r="D16" s="17" t="str">
        <x:v>Returns with Mattan and carriers.</x:v>
      </x:c>
    </x:row>
    <x:row r="17" ht="15" hidden="0" customHeight="1">
      <x:c r="A17" s="18" t="str">
        <x:v>PS-S02</x:v>
      </x:c>
      <x:c r="B17" s="18" t="str">
        <x:v>PS-CHR-LEVI</x:v>
      </x:c>
      <x:c r="C17" s="18" t="str">
        <x:v>Levi, hired field hand</x:v>
      </x:c>
      <x:c r="D17" s="18" t="str">
        <x:v>Hired hand present in household/field work.</x:v>
      </x:c>
    </x:row>
    <x:row r="18" ht="15" hidden="0" customHeight="1">
      <x:c r="A18" s="17" t="str">
        <x:v>PS-S02</x:v>
      </x:c>
      <x:c r="B18" s="17" t="str">
        <x:v>PS-CHR-MATTAN</x:v>
      </x:c>
      <x:c r="C18" s="17" t="str">
        <x:v>Mattan, steward</x:v>
      </x:c>
      <x:c r="D18" s="17" t="str">
        <x:v>Steward, carrier liaison and trusted household helper.</x:v>
      </x:c>
    </x:row>
    <x:row r="19" ht="15" hidden="0" customHeight="1">
      <x:c r="A19" s="18" t="str">
        <x:v>PS-S02</x:v>
      </x:c>
      <x:c r="B19" s="18" t="str">
        <x:v>PS-CHR-YOUNGER</x:v>
      </x:c>
      <x:c r="C19" s="18" t="str">
        <x:v>Younger son</x:v>
      </x:c>
      <x:c r="D19" s="18" t="str">
        <x:v>Younger son present in action.</x:v>
      </x:c>
    </x:row>
    <x:row r="20" ht="15" hidden="0" customHeight="1">
      <x:c r="A20" s="17" t="str">
        <x:v>PS-S02</x:v>
      </x:c>
      <x:c r="B20" s="17" t="str">
        <x:v>PS-EXT-CARRIERS</x:v>
      </x:c>
      <x:c r="C20" s="17" t="str">
        <x:v>Two hired carriers</x:v>
      </x:c>
      <x:c r="D20" s="17" t="str">
        <x:v>Carry bundles, wait on road, then part company with younger.</x:v>
      </x:c>
    </x:row>
    <x:row r="21" ht="15" hidden="0" customHeight="1">
      <x:c r="A21" s="18" t="str">
        <x:v>PS-S02</x:v>
      </x:c>
      <x:c r="B21" s="18" t="str">
        <x:v>PS-GRM-YOUNGERHOME</x:v>
      </x:c>
      <x:c r="C21" s="18" t="str">
        <x:v>Younger at home and early abroad</x:v>
      </x:c>
      <x:c r="D21" s="18" t="str">
        <x:v>Canonical younger identity before severe hunger.</x:v>
      </x:c>
    </x:row>
    <x:row r="22" ht="15" hidden="0" customHeight="1">
      <x:c r="A22" s="17" t="str">
        <x:v>PS-S02</x:v>
      </x:c>
      <x:c r="B22" s="17" t="str">
        <x:v>PS-LOC-HOMEROAD</x:v>
      </x:c>
      <x:c r="C22" s="17" t="str">
        <x:v>Home road and field approach</x:v>
      </x:c>
      <x:c r="D22" s="17" t="str">
        <x:v>Father arrives/departure and younger’s return.</x:v>
      </x:c>
    </x:row>
    <x:row r="23" ht="15" hidden="0" customHeight="1">
      <x:c r="A23" s="18" t="str">
        <x:v>PS-S02</x:v>
      </x:c>
      <x:c r="B23" s="18" t="str">
        <x:v>PS-LOC-HOMESTEAD</x:v>
      </x:c>
      <x:c r="C23" s="18" t="str">
        <x:v>Family farm geography</x:v>
      </x:c>
      <x:c r="D23" s="18" t="str">
        <x:v>Master relationship of road, courtyard entrance, fields and wall.</x:v>
      </x:c>
    </x:row>
    <x:row r="24" ht="15" hidden="0" customHeight="1">
      <x:c r="A24" s="17" t="str">
        <x:v>PS-S02</x:v>
      </x:c>
      <x:c r="B24" s="17" t="str">
        <x:v>PS-LOC-TERRACE</x:v>
      </x:c>
      <x:c r="C24" s="17" t="str">
        <x:v>Upper terrace and retaining wall</x:v>
      </x:c>
      <x:c r="D24" s="17" t="str">
        <x:v>Field work and elder/father meals.</x:v>
      </x:c>
    </x:row>
    <x:row r="25" ht="15" hidden="0" customHeight="1">
      <x:c r="A25" s="18" t="str">
        <x:v>PS-S02</x:v>
      </x:c>
      <x:c r="B25" s="18" t="str">
        <x:v>PS-PRP-BASKETMENDED</x:v>
      </x:c>
      <x:c r="C25" s="18" t="str">
        <x:v>Damaged basket and younger’s repair</x:v>
      </x:c>
      <x:c r="D25" s="18" t="str">
        <x:v>Visual connection between brothers through practical care.</x:v>
      </x:c>
    </x:row>
    <x:row r="26" ht="15" hidden="0" customHeight="1">
      <x:c r="A26" s="17" t="str">
        <x:v>PS-S02</x:v>
      </x:c>
      <x:c r="B26" s="17" t="str">
        <x:v>PS-PRP-BASKETSOUND</x:v>
      </x:c>
      <x:c r="C26" s="17" t="str">
        <x:v>Elder’s sound basket for Levi</x:v>
      </x:c>
      <x:c r="D26" s="17" t="str">
        <x:v>Work basket exchange and home labor.</x:v>
      </x:c>
    </x:row>
    <x:row r="27" ht="15" hidden="0" customHeight="1">
      <x:c r="A27" s="18" t="str">
        <x:v>PS-S02</x:v>
      </x:c>
      <x:c r="B27" s="18" t="str">
        <x:v>PS-PRP-FIELDSTONES</x:v>
      </x:c>
      <x:c r="C27" s="18" t="str">
        <x:v>Retaining-wall loose fieldstones</x:v>
      </x:c>
      <x:c r="D27" s="18" t="str">
        <x:v>Wall labor and progress.</x:v>
      </x:c>
    </x:row>
    <x:row r="28" ht="15" hidden="0" customHeight="1">
      <x:c r="A28" s="17" t="str">
        <x:v>PS-S02</x:v>
      </x:c>
      <x:c r="B28" s="17" t="str">
        <x:v>PS-PRP-PACKTACK</x:v>
      </x:c>
      <x:c r="C28" s="17" t="str">
        <x:v>Donkey pack saddles and tied baggage</x:v>
      </x:c>
      <x:c r="D28" s="17" t="str">
        <x:v>Carriers’ transport kit.</x:v>
      </x:c>
    </x:row>
    <x:row r="29" ht="15" hidden="0" customHeight="1">
      <x:c r="A29" s="18" t="str">
        <x:v>PS-S02</x:v>
      </x:c>
      <x:c r="B29" s="18" t="str">
        <x:v>PS-PRP-WALLCORD</x:v>
      </x:c>
      <x:c r="C29" s="18" t="str">
        <x:v>Wall setting line and cord</x:v>
      </x:c>
      <x:c r="D29" s="18" t="str">
        <x:v>Brothers hold alignment; repair continues.</x:v>
      </x:c>
    </x:row>
    <x:row r="30" ht="15" hidden="0" customHeight="1">
      <x:c r="A30" s="17" t="str">
        <x:v>PS-S02</x:v>
      </x:c>
      <x:c r="B30" s="17" t="str">
        <x:v>PS-WAR-ELDER</x:v>
      </x:c>
      <x:c r="C30" s="17" t="str">
        <x:v>Elder’s work tunic and sandals</x:v>
      </x:c>
      <x:c r="D30" s="17" t="str">
        <x:v>Elder’s ordinary clothing through unresolved ending.</x:v>
      </x:c>
    </x:row>
    <x:row r="31" ht="15" hidden="0" customHeight="1">
      <x:c r="A31" s="18" t="str">
        <x:v>PS-S02</x:v>
      </x:c>
      <x:c r="B31" s="18" t="str">
        <x:v>PS-WAR-FATHER</x:v>
      </x:c>
      <x:c r="C31" s="18" t="str">
        <x:v>Father’s everyday clothes and mantle</x:v>
      </x:c>
      <x:c r="D31" s="18" t="str">
        <x:v>Father’s ordinary tunic and sandals beneath traveling mantle.</x:v>
      </x:c>
    </x:row>
    <x:row r="32" ht="15" hidden="0" customHeight="1">
      <x:c r="A32" s="17" t="str">
        <x:v>PS-S02</x:v>
      </x:c>
      <x:c r="B32" s="17" t="str">
        <x:v>PS-WAR-FATHERTRAVEL</x:v>
      </x:c>
      <x:c r="C32" s="17" t="str">
        <x:v>Father’s traveling mantle</x:v>
      </x:c>
      <x:c r="D32" s="17" t="str">
        <x:v>Father returns from trade.</x:v>
      </x:c>
    </x:row>
    <x:row r="33" ht="15" hidden="0" customHeight="1">
      <x:c r="A33" s="18" t="str">
        <x:v>PS-S02</x:v>
      </x:c>
      <x:c r="B33" s="18" t="str">
        <x:v>PS-WAR-HOMEKIT</x:v>
      </x:c>
      <x:c r="C33" s="18" t="str">
        <x:v>Home workers and neighbors’ clothing</x:v>
      </x:c>
      <x:c r="D33" s="18" t="str">
        <x:v>Levi, Mattan and hired carriers wear their identity-linked practical garments.</x:v>
      </x:c>
    </x:row>
    <x:row r="34" ht="15" hidden="0" customHeight="1">
      <x:c r="A34" s="17" t="str">
        <x:v>PS-S02</x:v>
      </x:c>
      <x:c r="B34" s="17" t="str">
        <x:v>PS-WAR-YOUNGERSANDAL</x:v>
      </x:c>
      <x:c r="C34" s="17" t="str">
        <x:v>Younger’s original sandals</x:v>
      </x:c>
      <x:c r="D34" s="17" t="str">
        <x:v>Original footwear and return-journey failure.</x:v>
      </x:c>
    </x:row>
    <x:row r="35" ht="15" hidden="0" customHeight="1">
      <x:c r="A35" s="18" t="str">
        <x:v>PS-S02</x:v>
      </x:c>
      <x:c r="B35" s="18" t="str">
        <x:v>PS-WAR-YOUNGERTUNIC</x:v>
      </x:c>
      <x:c r="C35" s="18" t="str">
        <x:v>Younger’s plain tunic</x:v>
      </x:c>
      <x:c r="D35" s="18" t="str">
        <x:v>Core garment through entire younger-son story.</x:v>
      </x:c>
    </x:row>
    <x:row r="36" ht="15" hidden="0" customHeight="1">
      <x:c r="A36" s="17" t="str">
        <x:v>PS-S03</x:v>
      </x:c>
      <x:c r="B36" s="17" t="str">
        <x:v>PS-ANM-CATTLE</x:v>
      </x:c>
      <x:c r="C36" s="17" t="str">
        <x:v>Household cattle</x:v>
      </x:c>
      <x:c r="D36" s="17" t="str">
        <x:v>Adjacent pen and Levi’s animal-care context.</x:v>
      </x:c>
    </x:row>
    <x:row r="37" ht="15" hidden="0" customHeight="1">
      <x:c r="A37" s="18" t="str">
        <x:v>PS-S03</x:v>
      </x:c>
      <x:c r="B37" s="18" t="str">
        <x:v>PS-ANM-PACKDONKEY</x:v>
      </x:c>
      <x:c r="C37" s="18" t="str">
        <x:v>Carriers’ pack donkey</x:v>
      </x:c>
      <x:c r="D37" s="18" t="str">
        <x:v>Carries travel bundles and bedding.</x:v>
      </x:c>
    </x:row>
    <x:row r="38" ht="15" hidden="0" customHeight="1">
      <x:c r="A38" s="17" t="str">
        <x:v>PS-S03</x:v>
      </x:c>
      <x:c r="B38" s="17" t="str">
        <x:v>PS-CHR-ELDER</x:v>
      </x:c>
      <x:c r="C38" s="17" t="str">
        <x:v>Elder son</x:v>
      </x:c>
      <x:c r="D38" s="17" t="str">
        <x:v>Elder present in family and field action.</x:v>
      </x:c>
    </x:row>
    <x:row r="39" ht="15" hidden="0" customHeight="1">
      <x:c r="A39" s="18" t="str">
        <x:v>PS-S03</x:v>
      </x:c>
      <x:c r="B39" s="18" t="str">
        <x:v>PS-CHR-FATHER</x:v>
      </x:c>
      <x:c r="C39" s="18" t="str">
        <x:v>Father</x:v>
      </x:c>
      <x:c r="D39" s="18" t="str">
        <x:v>Greets both sons equally and presents two mantles.</x:v>
      </x:c>
    </x:row>
    <x:row r="40" ht="15" hidden="0" customHeight="1">
      <x:c r="A40" s="17" t="str">
        <x:v>PS-S03</x:v>
      </x:c>
      <x:c r="B40" s="17" t="str">
        <x:v>PS-CHR-HANNAH</x:v>
      </x:c>
      <x:c r="C40" s="17" t="str">
        <x:v>Hannah, kitchen manager</x:v>
      </x:c>
      <x:c r="D40" s="17" t="str">
        <x:v>Household food and care work.</x:v>
      </x:c>
    </x:row>
    <x:row r="41" ht="15" hidden="0" customHeight="1">
      <x:c r="A41" s="18" t="str">
        <x:v>PS-S03</x:v>
      </x:c>
      <x:c r="B41" s="18" t="str">
        <x:v>PS-CHR-MATTAN</x:v>
      </x:c>
      <x:c r="C41" s="18" t="str">
        <x:v>Mattan, steward</x:v>
      </x:c>
      <x:c r="D41" s="18" t="str">
        <x:v>Steward, carrier liaison and trusted household helper.</x:v>
      </x:c>
    </x:row>
    <x:row r="42" ht="15" hidden="0" customHeight="1">
      <x:c r="A42" s="17" t="str">
        <x:v>PS-S03</x:v>
      </x:c>
      <x:c r="B42" s="17" t="str">
        <x:v>PS-CHR-YOUNGER</x:v>
      </x:c>
      <x:c r="C42" s="17" t="str">
        <x:v>Younger son</x:v>
      </x:c>
      <x:c r="D42" s="17" t="str">
        <x:v>Younger son present in action.</x:v>
      </x:c>
    </x:row>
    <x:row r="43" ht="15" hidden="0" customHeight="1">
      <x:c r="A43" s="18" t="str">
        <x:v>PS-S03</x:v>
      </x:c>
      <x:c r="B43" s="18" t="str">
        <x:v>PS-EXT-CARRIERS</x:v>
      </x:c>
      <x:c r="C43" s="18" t="str">
        <x:v>Two hired carriers</x:v>
      </x:c>
      <x:c r="D43" s="18" t="str">
        <x:v>Carry bundles, wait on road, then part company with younger.</x:v>
      </x:c>
    </x:row>
    <x:row r="44" ht="15" hidden="0" customHeight="1">
      <x:c r="A44" s="17" t="str">
        <x:v>PS-S03</x:v>
      </x:c>
      <x:c r="B44" s="17" t="str">
        <x:v>PS-FOD-GRAIN</x:v>
      </x:c>
      <x:c r="C44" s="17" t="str">
        <x:v>Stored grain and spill</x:v>
      </x:c>
      <x:c r="D44" s="17" t="str">
        <x:v>Farm stores and elder’s apology.</x:v>
      </x:c>
    </x:row>
    <x:row r="45" ht="15" hidden="0" customHeight="1">
      <x:c r="A45" s="18" t="str">
        <x:v>PS-S03</x:v>
      </x:c>
      <x:c r="B45" s="18" t="str">
        <x:v>PS-GRM-ELDERPALM</x:v>
      </x:c>
      <x:c r="C45" s="18" t="str">
        <x:v>Elder’s left palm wound and scar</x:v>
      </x:c>
      <x:c r="D45" s="18" t="str">
        <x:v>Hand care, concealed overwork and thumb pressing scar.</x:v>
      </x:c>
    </x:row>
    <x:row r="46" ht="15" hidden="0" customHeight="1">
      <x:c r="A46" s="17" t="str">
        <x:v>PS-S03</x:v>
      </x:c>
      <x:c r="B46" s="17" t="str">
        <x:v>PS-GRM-YOUNGERHOME</x:v>
      </x:c>
      <x:c r="C46" s="17" t="str">
        <x:v>Younger at home and early abroad</x:v>
      </x:c>
      <x:c r="D46" s="17" t="str">
        <x:v>Canonical younger identity before severe hunger.</x:v>
      </x:c>
    </x:row>
    <x:row r="47" ht="15" hidden="0" customHeight="1">
      <x:c r="A47" s="18" t="str">
        <x:v>PS-S03</x:v>
      </x:c>
      <x:c r="B47" s="18" t="str">
        <x:v>PS-LOC-COURTYARD</x:v>
      </x:c>
      <x:c r="C47" s="18" t="str">
        <x:v>Working family courtyard</x:v>
      </x:c>
      <x:c r="D47" s="18" t="str">
        <x:v>Household arrival, meals, work, care and restoration.</x:v>
      </x:c>
    </x:row>
    <x:row r="48" ht="15" hidden="0" customHeight="1">
      <x:c r="A48" s="17" t="str">
        <x:v>PS-S03</x:v>
      </x:c>
      <x:c r="B48" s="17" t="str">
        <x:v>PS-LOC-ENTRANCE</x:v>
      </x:c>
      <x:c r="C48" s="17" t="str">
        <x:v>Courtyard threshold and road entrance</x:v>
      </x:c>
      <x:c r="D48" s="17" t="str">
        <x:v>Departure, brother conversation, father’s recognition and final refusal/invitation.</x:v>
      </x:c>
    </x:row>
    <x:row r="49" ht="15" hidden="0" customHeight="1">
      <x:c r="A49" s="18" t="str">
        <x:v>PS-S03</x:v>
      </x:c>
      <x:c r="B49" s="18" t="str">
        <x:v>PS-LOC-HOMESTEAD</x:v>
      </x:c>
      <x:c r="C49" s="18" t="str">
        <x:v>Family farm geography</x:v>
      </x:c>
      <x:c r="D49" s="18" t="str">
        <x:v>Master relationship of road, courtyard entrance, fields and wall.</x:v>
      </x:c>
    </x:row>
    <x:row r="50" ht="15" hidden="0" customHeight="1">
      <x:c r="A50" s="17" t="str">
        <x:v>PS-S03</x:v>
      </x:c>
      <x:c r="B50" s="17" t="str">
        <x:v>PS-LOC-PEN</x:v>
      </x:c>
      <x:c r="C50" s="17" t="str">
        <x:v>Home cattle pen</x:v>
      </x:c>
      <x:c r="D50" s="17" t="str">
        <x:v>Home livestock and preparation of celebration.</x:v>
      </x:c>
    </x:row>
    <x:row r="51" ht="15" hidden="0" customHeight="1">
      <x:c r="A51" s="18" t="str">
        <x:v>PS-S03</x:v>
      </x:c>
      <x:c r="B51" s="18" t="str">
        <x:v>PS-PRP-PACKTACK</x:v>
      </x:c>
      <x:c r="C51" s="18" t="str">
        <x:v>Donkey pack saddles and tied baggage</x:v>
      </x:c>
      <x:c r="D51" s="18" t="str">
        <x:v>Carriers’ transport kit.</x:v>
      </x:c>
    </x:row>
    <x:row r="52" ht="15" hidden="0" customHeight="1">
      <x:c r="A52" s="17" t="str">
        <x:v>PS-S03</x:v>
      </x:c>
      <x:c r="B52" s="17" t="str">
        <x:v>PS-PRP-PALMCLOTH</x:v>
      </x:c>
      <x:c r="C52" s="17" t="str">
        <x:v>Elder’s hand dressing cloth</x:v>
      </x:c>
      <x:c r="D52" s="17" t="str">
        <x:v>Father’s hand care continuity.</x:v>
      </x:c>
    </x:row>
    <x:row r="53" ht="15" hidden="0" customHeight="1">
      <x:c r="A53" s="18" t="str">
        <x:v>PS-S03</x:v>
      </x:c>
      <x:c r="B53" s="18" t="str">
        <x:v>PS-PRP-REFLECTIONBOWL</x:v>
      </x:c>
      <x:c r="C53" s="18" t="str">
        <x:v>Younger’s shallow reflection bowl</x:v>
      </x:c>
      <x:c r="D53" s="18" t="str">
        <x:v>Younger admires new russet mantle while father tends elder.</x:v>
      </x:c>
    </x:row>
    <x:row r="54" ht="15" hidden="0" customHeight="1">
      <x:c r="A54" s="17" t="str">
        <x:v>PS-S03</x:v>
      </x:c>
      <x:c r="B54" s="17" t="str">
        <x:v>PS-PRP-WASHBOWL</x:v>
      </x:c>
      <x:c r="C54" s="17" t="str">
        <x:v>Home washing bowl and water</x:v>
      </x:c>
      <x:c r="D54" s="17" t="str">
        <x:v>Care actions and everyday washing.</x:v>
      </x:c>
    </x:row>
    <x:row r="55" ht="15" hidden="0" customHeight="1">
      <x:c r="A55" s="18" t="str">
        <x:v>PS-S03</x:v>
      </x:c>
      <x:c r="B55" s="18" t="str">
        <x:v>PS-SET-COOKING</x:v>
      </x:c>
      <x:c r="C55" s="18" t="str">
        <x:v>Household cooking hearth and equipment</x:v>
      </x:c>
      <x:c r="D55" s="18" t="str">
        <x:v>Kitchen work and preparation-time compression.</x:v>
      </x:c>
    </x:row>
    <x:row r="56" ht="15" hidden="0" customHeight="1">
      <x:c r="A56" s="17" t="str">
        <x:v>PS-S03</x:v>
      </x:c>
      <x:c r="B56" s="17" t="str">
        <x:v>PS-SET-HOMEAWNING</x:v>
      </x:c>
      <x:c r="C56" s="17" t="str">
        <x:v>Home awning and textile coverings</x:v>
      </x:c>
      <x:c r="D56" s="17" t="str">
        <x:v>Working-yard continuity.</x:v>
      </x:c>
    </x:row>
    <x:row r="57" ht="15" hidden="0" customHeight="1">
      <x:c r="A57" s="18" t="str">
        <x:v>PS-S03</x:v>
      </x:c>
      <x:c r="B57" s="18" t="str">
        <x:v>PS-SET-HOMEVESSELS</x:v>
      </x:c>
      <x:c r="C57" s="18" t="str">
        <x:v>Home jars, cups and storage vessels</x:v>
      </x:c>
      <x:c r="D57" s="18" t="str">
        <x:v>Prosperous working household background and handling.</x:v>
      </x:c>
    </x:row>
    <x:row r="58" ht="15" hidden="0" customHeight="1">
      <x:c r="A58" s="17" t="str">
        <x:v>PS-S03</x:v>
      </x:c>
      <x:c r="B58" s="17" t="str">
        <x:v>PS-WAR-ELDER</x:v>
      </x:c>
      <x:c r="C58" s="17" t="str">
        <x:v>Elder’s work tunic and sandals</x:v>
      </x:c>
      <x:c r="D58" s="17" t="str">
        <x:v>Elder’s ordinary clothing through unresolved ending.</x:v>
      </x:c>
    </x:row>
    <x:row r="59" ht="15" hidden="0" customHeight="1">
      <x:c r="A59" s="18" t="str">
        <x:v>PS-S03</x:v>
      </x:c>
      <x:c r="B59" s="18" t="str">
        <x:v>PS-WAR-FATHER</x:v>
      </x:c>
      <x:c r="C59" s="18" t="str">
        <x:v>Father’s everyday clothes and mantle</x:v>
      </x:c>
      <x:c r="D59" s="18" t="str">
        <x:v>Father’s home scenes and continuous reunion.</x:v>
      </x:c>
    </x:row>
    <x:row r="60" ht="15" hidden="0" customHeight="1">
      <x:c r="A60" s="17" t="str">
        <x:v>PS-S03</x:v>
      </x:c>
      <x:c r="B60" s="17" t="str">
        <x:v>PS-WAR-FATHERTRAVEL</x:v>
      </x:c>
      <x:c r="C60" s="17" t="str">
        <x:v>Father’s traveling mantle</x:v>
      </x:c>
      <x:c r="D60" s="17" t="str">
        <x:v>Father returns from trade.</x:v>
      </x:c>
    </x:row>
    <x:row r="61" ht="15" hidden="0" customHeight="1">
      <x:c r="A61" s="18" t="str">
        <x:v>PS-S03</x:v>
      </x:c>
      <x:c r="B61" s="18" t="str">
        <x:v>PS-WAR-HOMEKIT</x:v>
      </x:c>
      <x:c r="C61" s="18" t="str">
        <x:v>Home workers and neighbors’ clothing</x:v>
      </x:c>
      <x:c r="D61" s="18" t="str">
        <x:v>Home supporting cast and feast costume consistency.</x:v>
      </x:c>
    </x:row>
    <x:row r="62" ht="15" hidden="0" customHeight="1">
      <x:c r="A62" s="17" t="str">
        <x:v>PS-S03</x:v>
      </x:c>
      <x:c r="B62" s="17" t="str">
        <x:v>PS-WAR-OLIVE</x:v>
      </x:c>
      <x:c r="C62" s="17" t="str">
        <x:v>Elder’s olive gift mantle</x:v>
      </x:c>
      <x:c r="D62" s="17" t="str">
        <x:v>Physical continuity of father’s attentive love for elder.</x:v>
      </x:c>
    </x:row>
    <x:row r="63" ht="15" hidden="0" customHeight="1">
      <x:c r="A63" s="18" t="str">
        <x:v>PS-S03</x:v>
      </x:c>
      <x:c r="B63" s="18" t="str">
        <x:v>PS-WAR-RUSSET</x:v>
      </x:c>
      <x:c r="C63" s="18" t="str">
        <x:v>Younger’s russet gift mantle</x:v>
      </x:c>
      <x:c r="D63" s="18" t="str">
        <x:v>Gift, threshold talk, travel, display and sale.</x:v>
      </x:c>
    </x:row>
    <x:row r="64" ht="15" hidden="0" customHeight="1">
      <x:c r="A64" s="17" t="str">
        <x:v>PS-S03</x:v>
      </x:c>
      <x:c r="B64" s="17" t="str">
        <x:v>PS-WAR-YOUNGERSANDAL</x:v>
      </x:c>
      <x:c r="C64" s="17" t="str">
        <x:v>Younger’s original sandals</x:v>
      </x:c>
      <x:c r="D64" s="17" t="str">
        <x:v>Original footwear and return-journey failure.</x:v>
      </x:c>
    </x:row>
    <x:row r="65" ht="15" hidden="0" customHeight="1">
      <x:c r="A65" s="18" t="str">
        <x:v>PS-S03</x:v>
      </x:c>
      <x:c r="B65" s="18" t="str">
        <x:v>PS-WAR-YOUNGERTUNIC</x:v>
      </x:c>
      <x:c r="C65" s="18" t="str">
        <x:v>Younger’s plain tunic</x:v>
      </x:c>
      <x:c r="D65" s="18" t="str">
        <x:v>Core garment through entire younger-son story.</x:v>
      </x:c>
    </x:row>
    <x:row r="66" ht="15" hidden="0" customHeight="1">
      <x:c r="A66" s="17" t="str">
        <x:v>PS-S04</x:v>
      </x:c>
      <x:c r="B66" s="17" t="str">
        <x:v>PS-CHR-ELDER</x:v>
      </x:c>
      <x:c r="C66" s="17" t="str">
        <x:v>Elder son</x:v>
      </x:c>
      <x:c r="D66" s="17" t="str">
        <x:v>Elder present in family and field action.</x:v>
      </x:c>
    </x:row>
    <x:row r="67" ht="15" hidden="0" customHeight="1">
      <x:c r="A67" s="18" t="str">
        <x:v>PS-S04</x:v>
      </x:c>
      <x:c r="B67" s="18" t="str">
        <x:v>PS-CHR-FATHER</x:v>
      </x:c>
      <x:c r="C67" s="18" t="str">
        <x:v>Father</x:v>
      </x:c>
      <x:c r="D67" s="18" t="str">
        <x:v>Family supper, request and consent.</x:v>
      </x:c>
    </x:row>
    <x:row r="68" ht="15" hidden="0" customHeight="1">
      <x:c r="A68" s="17" t="str">
        <x:v>PS-S04</x:v>
      </x:c>
      <x:c r="B68" s="17" t="str">
        <x:v>PS-CHR-HANNAH</x:v>
      </x:c>
      <x:c r="C68" s="17" t="str">
        <x:v>Hannah, kitchen manager</x:v>
      </x:c>
      <x:c r="D68" s="17" t="str">
        <x:v>Household food and care work.</x:v>
      </x:c>
    </x:row>
    <x:row r="69" ht="15" hidden="0" customHeight="1">
      <x:c r="A69" s="18" t="str">
        <x:v>PS-S04</x:v>
      </x:c>
      <x:c r="B69" s="18" t="str">
        <x:v>PS-CHR-LEVI</x:v>
      </x:c>
      <x:c r="C69" s="18" t="str">
        <x:v>Levi, hired field hand</x:v>
      </x:c>
      <x:c r="D69" s="18" t="str">
        <x:v>Worker receiving food in adjoining courtyard.</x:v>
      </x:c>
    </x:row>
    <x:row r="70" ht="15" hidden="0" customHeight="1">
      <x:c r="A70" s="17" t="str">
        <x:v>PS-S04</x:v>
      </x:c>
      <x:c r="B70" s="17" t="str">
        <x:v>PS-CHR-MATTAN</x:v>
      </x:c>
      <x:c r="C70" s="17" t="str">
        <x:v>Mattan, steward</x:v>
      </x:c>
      <x:c r="D70" s="17" t="str">
        <x:v>Receives fuller workers’ bowl in neighboring courtyard.</x:v>
      </x:c>
    </x:row>
    <x:row r="71" ht="15" hidden="0" customHeight="1">
      <x:c r="A71" s="18" t="str">
        <x:v>PS-S04</x:v>
      </x:c>
      <x:c r="B71" s="18" t="str">
        <x:v>PS-CHR-YOUNGER</x:v>
      </x:c>
      <x:c r="C71" s="18" t="str">
        <x:v>Younger son</x:v>
      </x:c>
      <x:c r="D71" s="18" t="str">
        <x:v>Younger son present in action.</x:v>
      </x:c>
    </x:row>
    <x:row r="72" ht="15" hidden="0" customHeight="1">
      <x:c r="A72" s="17" t="str">
        <x:v>PS-S04</x:v>
      </x:c>
      <x:c r="B72" s="17" t="str">
        <x:v>PS-EXT-HOMEWORKERS</x:v>
      </x:c>
      <x:c r="C72" s="17" t="str">
        <x:v>Household workers and second servant</x:v>
      </x:c>
      <x:c r="D72" s="17" t="str">
        <x:v>Work, eat and prepare household celebration.</x:v>
      </x:c>
    </x:row>
    <x:row r="73" ht="15" hidden="0" customHeight="1">
      <x:c r="A73" s="18" t="str">
        <x:v>PS-S04</x:v>
      </x:c>
      <x:c r="B73" s="18" t="str">
        <x:v>PS-FOD-HOMEBREAD</x:v>
      </x:c>
      <x:c r="C73" s="18" t="str">
        <x:v>Home bread</x:v>
      </x:c>
      <x:c r="D73" s="18" t="str">
        <x:v>Bread shared, withheld from oneself, remembered and served.</x:v>
      </x:c>
    </x:row>
    <x:row r="74" ht="15" hidden="0" customHeight="1">
      <x:c r="A74" s="17" t="str">
        <x:v>PS-S04</x:v>
      </x:c>
      <x:c r="B74" s="17" t="str">
        <x:v>PS-FOD-HOMEMEALS</x:v>
      </x:c>
      <x:c r="C74" s="17" t="str">
        <x:v>Lentils, olives and household meals</x:v>
      </x:c>
      <x:c r="D74" s="17" t="str">
        <x:v>Ordinary nourishment and feast accompaniments.</x:v>
      </x:c>
    </x:row>
    <x:row r="75" ht="15" hidden="0" customHeight="1">
      <x:c r="A75" s="18" t="str">
        <x:v>PS-S04</x:v>
      </x:c>
      <x:c r="B75" s="18" t="str">
        <x:v>PS-GRM-ELDERPALM</x:v>
      </x:c>
      <x:c r="C75" s="18" t="str">
        <x:v>Elder’s left palm wound and scar</x:v>
      </x:c>
      <x:c r="D75" s="18" t="str">
        <x:v>Hand care, concealed overwork and thumb pressing scar.</x:v>
      </x:c>
    </x:row>
    <x:row r="76" ht="15" hidden="0" customHeight="1">
      <x:c r="A76" s="17" t="str">
        <x:v>PS-S04</x:v>
      </x:c>
      <x:c r="B76" s="17" t="str">
        <x:v>PS-GRM-YOUNGERHOME</x:v>
      </x:c>
      <x:c r="C76" s="17" t="str">
        <x:v>Younger at home and early abroad</x:v>
      </x:c>
      <x:c r="D76" s="17" t="str">
        <x:v>Canonical younger identity before severe hunger.</x:v>
      </x:c>
    </x:row>
    <x:row r="77" ht="15" hidden="0" customHeight="1">
      <x:c r="A77" s="18" t="str">
        <x:v>PS-S04</x:v>
      </x:c>
      <x:c r="B77" s="18" t="str">
        <x:v>PS-LOC-COURTYARD</x:v>
      </x:c>
      <x:c r="C77" s="18" t="str">
        <x:v>Working family courtyard</x:v>
      </x:c>
      <x:c r="D77" s="18" t="str">
        <x:v>Household arrival, meals, work, care and restoration.</x:v>
      </x:c>
    </x:row>
    <x:row r="78" ht="15" hidden="0" customHeight="1">
      <x:c r="A78" s="17" t="str">
        <x:v>PS-S04</x:v>
      </x:c>
      <x:c r="B78" s="17" t="str">
        <x:v>PS-LOC-ENTRANCE</x:v>
      </x:c>
      <x:c r="C78" s="17" t="str">
        <x:v>Courtyard threshold and road entrance</x:v>
      </x:c>
      <x:c r="D78" s="17" t="str">
        <x:v>Departure, brother conversation, father’s recognition and final refusal/invitation.</x:v>
      </x:c>
    </x:row>
    <x:row r="79" ht="15" hidden="0" customHeight="1">
      <x:c r="A79" s="18" t="str">
        <x:v>PS-S04</x:v>
      </x:c>
      <x:c r="B79" s="18" t="str">
        <x:v>PS-LOC-SUPPER</x:v>
      </x:c>
      <x:c r="C79" s="18" t="str">
        <x:v>Family supper room</x:v>
      </x:c>
      <x:c r="D79" s="18" t="str">
        <x:v>Inheritance request and silent memory fragments.</x:v>
      </x:c>
    </x:row>
    <x:row r="80" ht="15" hidden="0" customHeight="1">
      <x:c r="A80" s="17" t="str">
        <x:v>PS-S04</x:v>
      </x:c>
      <x:c r="B80" s="17" t="str">
        <x:v>PS-PRP-PALMCLOTH</x:v>
      </x:c>
      <x:c r="C80" s="17" t="str">
        <x:v>Elder’s hand dressing cloth</x:v>
      </x:c>
      <x:c r="D80" s="17" t="str">
        <x:v>Father’s hand care continuity.</x:v>
      </x:c>
    </x:row>
    <x:row r="81" ht="15" hidden="0" customHeight="1">
      <x:c r="A81" s="18" t="str">
        <x:v>PS-S04</x:v>
      </x:c>
      <x:c r="B81" s="18" t="str">
        <x:v>PS-PRP-SERVINGBOWL</x:v>
      </x:c>
      <x:c r="C81" s="18" t="str">
        <x:v>Fuller bowl for hired workers</x:v>
      </x:c>
      <x:c r="D81" s="18" t="str">
        <x:v>Everyone in father’s household has enough to eat.</x:v>
      </x:c>
    </x:row>
    <x:row r="82" ht="15" hidden="0" customHeight="1">
      <x:c r="A82" s="17" t="str">
        <x:v>PS-S04</x:v>
      </x:c>
      <x:c r="B82" s="17" t="str">
        <x:v>PS-PRP-WASHBOWL</x:v>
      </x:c>
      <x:c r="C82" s="17" t="str">
        <x:v>Home washing bowl and water</x:v>
      </x:c>
      <x:c r="D82" s="17" t="str">
        <x:v>Care actions and everyday washing.</x:v>
      </x:c>
    </x:row>
    <x:row r="83" ht="15" hidden="0" customHeight="1">
      <x:c r="A83" s="18" t="str">
        <x:v>PS-S04</x:v>
      </x:c>
      <x:c r="B83" s="18" t="str">
        <x:v>PS-SET-COOKING</x:v>
      </x:c>
      <x:c r="C83" s="18" t="str">
        <x:v>Household cooking hearth and equipment</x:v>
      </x:c>
      <x:c r="D83" s="18" t="str">
        <x:v>Kitchen work and preparation-time compression.</x:v>
      </x:c>
    </x:row>
    <x:row r="84" ht="15" hidden="0" customHeight="1">
      <x:c r="A84" s="17" t="str">
        <x:v>PS-S04</x:v>
      </x:c>
      <x:c r="B84" s="17" t="str">
        <x:v>PS-SET-HOMELAMPS</x:v>
      </x:c>
      <x:c r="C84" s="17" t="str">
        <x:v>Home oil lamps and oil</x:v>
      </x:c>
      <x:c r="D84" s="17" t="str">
        <x:v>Practical interior and feast illumination.</x:v>
      </x:c>
    </x:row>
    <x:row r="85" ht="15" hidden="0" customHeight="1">
      <x:c r="A85" s="18" t="str">
        <x:v>PS-S04</x:v>
      </x:c>
      <x:c r="B85" s="18" t="str">
        <x:v>PS-SET-HOMETABLE</x:v>
      </x:c>
      <x:c r="C85" s="18" t="str">
        <x:v>Home low table and seating</x:v>
      </x:c>
      <x:c r="D85" s="18" t="str">
        <x:v>Meals, request and feast.</x:v>
      </x:c>
    </x:row>
    <x:row r="86" ht="15" hidden="0" customHeight="1">
      <x:c r="A86" s="17" t="str">
        <x:v>PS-S04</x:v>
      </x:c>
      <x:c r="B86" s="17" t="str">
        <x:v>PS-SET-HOMEVESSELS</x:v>
      </x:c>
      <x:c r="C86" s="17" t="str">
        <x:v>Home jars, cups and storage vessels</x:v>
      </x:c>
      <x:c r="D86" s="17" t="str">
        <x:v>Prosperous working household background and handling.</x:v>
      </x:c>
    </x:row>
    <x:row r="87" ht="15" hidden="0" customHeight="1">
      <x:c r="A87" s="18" t="str">
        <x:v>PS-S04</x:v>
      </x:c>
      <x:c r="B87" s="18" t="str">
        <x:v>PS-WAR-ELDER</x:v>
      </x:c>
      <x:c r="C87" s="18" t="str">
        <x:v>Elder’s work tunic and sandals</x:v>
      </x:c>
      <x:c r="D87" s="18" t="str">
        <x:v>Elder’s ordinary clothing through unresolved ending.</x:v>
      </x:c>
    </x:row>
    <x:row r="88" ht="15" hidden="0" customHeight="1">
      <x:c r="A88" s="17" t="str">
        <x:v>PS-S04</x:v>
      </x:c>
      <x:c r="B88" s="17" t="str">
        <x:v>PS-WAR-FATHER</x:v>
      </x:c>
      <x:c r="C88" s="17" t="str">
        <x:v>Father’s everyday clothes and mantle</x:v>
      </x:c>
      <x:c r="D88" s="17" t="str">
        <x:v>Father’s home scenes and continuous reunion.</x:v>
      </x:c>
    </x:row>
    <x:row r="89" ht="15" hidden="0" customHeight="1">
      <x:c r="A89" s="18" t="str">
        <x:v>PS-S04</x:v>
      </x:c>
      <x:c r="B89" s="18" t="str">
        <x:v>PS-WAR-HOMEKIT</x:v>
      </x:c>
      <x:c r="C89" s="18" t="str">
        <x:v>Home workers and neighbors’ clothing</x:v>
      </x:c>
      <x:c r="D89" s="18" t="str">
        <x:v>Home supporting cast and feast costume consistency.</x:v>
      </x:c>
    </x:row>
    <x:row r="90" ht="15" hidden="0" customHeight="1">
      <x:c r="A90" s="17" t="str">
        <x:v>PS-S04</x:v>
      </x:c>
      <x:c r="B90" s="17" t="str">
        <x:v>PS-WAR-RUSSET</x:v>
      </x:c>
      <x:c r="C90" s="17" t="str">
        <x:v>Younger’s russet gift mantle</x:v>
      </x:c>
      <x:c r="D90" s="17" t="str">
        <x:v>Gift, threshold talk, travel, display and sale.</x:v>
      </x:c>
    </x:row>
    <x:row r="91" ht="15" hidden="0" customHeight="1">
      <x:c r="A91" s="18" t="str">
        <x:v>PS-S04</x:v>
      </x:c>
      <x:c r="B91" s="18" t="str">
        <x:v>PS-WAR-YOUNGERSANDAL</x:v>
      </x:c>
      <x:c r="C91" s="18" t="str">
        <x:v>Younger’s original sandals</x:v>
      </x:c>
      <x:c r="D91" s="18" t="str">
        <x:v>Original footwear and return-journey failure.</x:v>
      </x:c>
    </x:row>
    <x:row r="92" ht="15" hidden="0" customHeight="1">
      <x:c r="A92" s="17" t="str">
        <x:v>PS-S04</x:v>
      </x:c>
      <x:c r="B92" s="17" t="str">
        <x:v>PS-WAR-YOUNGERTUNIC</x:v>
      </x:c>
      <x:c r="C92" s="17" t="str">
        <x:v>Younger’s plain tunic</x:v>
      </x:c>
      <x:c r="D92" s="17" t="str">
        <x:v>Core garment through entire younger-son story.</x:v>
      </x:c>
    </x:row>
    <x:row r="93" ht="15" hidden="0" customHeight="1">
      <x:c r="A93" s="18" t="str">
        <x:v>PS-S05</x:v>
      </x:c>
      <x:c r="B93" s="18" t="str">
        <x:v>PS-ANM-CATTLE</x:v>
      </x:c>
      <x:c r="C93" s="18" t="str">
        <x:v>Household cattle</x:v>
      </x:c>
      <x:c r="D93" s="18" t="str">
        <x:v>Adjacent pen and Levi’s animal-care context.</x:v>
      </x:c>
    </x:row>
    <x:row r="94" ht="15" hidden="0" customHeight="1">
      <x:c r="A94" s="17" t="str">
        <x:v>PS-S05</x:v>
      </x:c>
      <x:c r="B94" s="17" t="str">
        <x:v>PS-CHR-ELDER</x:v>
      </x:c>
      <x:c r="C94" s="17" t="str">
        <x:v>Elder son</x:v>
      </x:c>
      <x:c r="D94" s="17" t="str">
        <x:v>Elder present in family and field action.</x:v>
      </x:c>
    </x:row>
    <x:row r="95" ht="15" hidden="0" customHeight="1">
      <x:c r="A95" s="18" t="str">
        <x:v>PS-S05</x:v>
      </x:c>
      <x:c r="B95" s="18" t="str">
        <x:v>PS-CHR-FATHER</x:v>
      </x:c>
      <x:c r="C95" s="18" t="str">
        <x:v>Father</x:v>
      </x:c>
      <x:c r="D95" s="18" t="str">
        <x:v>Visible inside beside the supper table.</x:v>
      </x:c>
    </x:row>
    <x:row r="96" ht="15" hidden="0" customHeight="1">
      <x:c r="A96" s="17" t="str">
        <x:v>PS-S05</x:v>
      </x:c>
      <x:c r="B96" s="17" t="str">
        <x:v>PS-CHR-YOUNGER</x:v>
      </x:c>
      <x:c r="C96" s="17" t="str">
        <x:v>Younger son</x:v>
      </x:c>
      <x:c r="D96" s="17" t="str">
        <x:v>Younger son present in action.</x:v>
      </x:c>
    </x:row>
    <x:row r="97" ht="15" hidden="0" customHeight="1">
      <x:c r="A97" s="18" t="str">
        <x:v>PS-S05</x:v>
      </x:c>
      <x:c r="B97" s="18" t="str">
        <x:v>PS-GRM-ELDERPALM</x:v>
      </x:c>
      <x:c r="C97" s="18" t="str">
        <x:v>Elder’s left palm wound and scar</x:v>
      </x:c>
      <x:c r="D97" s="18" t="str">
        <x:v>Hand care, concealed overwork and thumb pressing scar.</x:v>
      </x:c>
    </x:row>
    <x:row r="98" ht="15" hidden="0" customHeight="1">
      <x:c r="A98" s="17" t="str">
        <x:v>PS-S05</x:v>
      </x:c>
      <x:c r="B98" s="17" t="str">
        <x:v>PS-GRM-YOUNGERHOME</x:v>
      </x:c>
      <x:c r="C98" s="17" t="str">
        <x:v>Younger at home and early abroad</x:v>
      </x:c>
      <x:c r="D98" s="17" t="str">
        <x:v>Canonical younger identity before severe hunger.</x:v>
      </x:c>
    </x:row>
    <x:row r="99" ht="15" hidden="0" customHeight="1">
      <x:c r="A99" s="18" t="str">
        <x:v>PS-S05</x:v>
      </x:c>
      <x:c r="B99" s="18" t="str">
        <x:v>PS-LOC-ENTRANCE</x:v>
      </x:c>
      <x:c r="C99" s="18" t="str">
        <x:v>Courtyard threshold and road entrance</x:v>
      </x:c>
      <x:c r="D99" s="18" t="str">
        <x:v>Departure, brother conversation, father’s recognition and final refusal/invitation.</x:v>
      </x:c>
    </x:row>
    <x:row r="100" ht="15" hidden="0" customHeight="1">
      <x:c r="A100" s="17" t="str">
        <x:v>PS-S05</x:v>
      </x:c>
      <x:c r="B100" s="17" t="str">
        <x:v>PS-LOC-PEN</x:v>
      </x:c>
      <x:c r="C100" s="17" t="str">
        <x:v>Home cattle pen</x:v>
      </x:c>
      <x:c r="D100" s="17" t="str">
        <x:v>Home livestock and preparation of celebration.</x:v>
      </x:c>
    </x:row>
    <x:row r="101" ht="15" hidden="0" customHeight="1">
      <x:c r="A101" s="18" t="str">
        <x:v>PS-S05</x:v>
      </x:c>
      <x:c r="B101" s="18" t="str">
        <x:v>PS-LOC-SUPPER</x:v>
      </x:c>
      <x:c r="C101" s="18" t="str">
        <x:v>Family supper room</x:v>
      </x:c>
      <x:c r="D101" s="18" t="str">
        <x:v>Inheritance request and silent memory fragments.</x:v>
      </x:c>
    </x:row>
    <x:row r="102" ht="15" hidden="0" customHeight="1">
      <x:c r="A102" s="17" t="str">
        <x:v>PS-S05</x:v>
      </x:c>
      <x:c r="B102" s="17" t="str">
        <x:v>PS-PRP-PALMCLOTH</x:v>
      </x:c>
      <x:c r="C102" s="17" t="str">
        <x:v>Elder’s hand dressing cloth</x:v>
      </x:c>
      <x:c r="D102" s="17" t="str">
        <x:v>Father’s hand care continuity.</x:v>
      </x:c>
    </x:row>
    <x:row r="103" ht="15" hidden="0" customHeight="1">
      <x:c r="A103" s="18" t="str">
        <x:v>PS-S05</x:v>
      </x:c>
      <x:c r="B103" s="18" t="str">
        <x:v>PS-PRP-WATERSKIN</x:v>
      </x:c>
      <x:c r="C103" s="18" t="str">
        <x:v>Elder’s repaired waterskin</x:v>
      </x:c>
      <x:c r="D103" s="18" t="str">
        <x:v>Travel support and brotherly care object.</x:v>
      </x:c>
    </x:row>
    <x:row r="104" ht="15" hidden="0" customHeight="1">
      <x:c r="A104" s="17" t="str">
        <x:v>PS-S05</x:v>
      </x:c>
      <x:c r="B104" s="17" t="str">
        <x:v>PS-SET-HOMELAMPS</x:v>
      </x:c>
      <x:c r="C104" s="17" t="str">
        <x:v>Home oil lamps and oil</x:v>
      </x:c>
      <x:c r="D104" s="17" t="str">
        <x:v>Practical interior and feast illumination.</x:v>
      </x:c>
    </x:row>
    <x:row r="105" ht="15" hidden="0" customHeight="1">
      <x:c r="A105" s="18" t="str">
        <x:v>PS-S05</x:v>
      </x:c>
      <x:c r="B105" s="18" t="str">
        <x:v>PS-SET-HOMETABLE</x:v>
      </x:c>
      <x:c r="C105" s="18" t="str">
        <x:v>Home low table and seating</x:v>
      </x:c>
      <x:c r="D105" s="18" t="str">
        <x:v>Meals, request and feast.</x:v>
      </x:c>
    </x:row>
    <x:row r="106" ht="15" hidden="0" customHeight="1">
      <x:c r="A106" s="17" t="str">
        <x:v>PS-S05</x:v>
      </x:c>
      <x:c r="B106" s="17" t="str">
        <x:v>PS-WAR-ELDER</x:v>
      </x:c>
      <x:c r="C106" s="17" t="str">
        <x:v>Elder’s work tunic and sandals</x:v>
      </x:c>
      <x:c r="D106" s="17" t="str">
        <x:v>Elder’s ordinary clothing through unresolved ending.</x:v>
      </x:c>
    </x:row>
    <x:row r="107" ht="15" hidden="0" customHeight="1">
      <x:c r="A107" s="18" t="str">
        <x:v>PS-S05</x:v>
      </x:c>
      <x:c r="B107" s="18" t="str">
        <x:v>PS-WAR-FATHER</x:v>
      </x:c>
      <x:c r="C107" s="18" t="str">
        <x:v>Father’s everyday clothes and mantle</x:v>
      </x:c>
      <x:c r="D107" s="18" t="str">
        <x:v>Father’s home scenes and continuous reunion.</x:v>
      </x:c>
    </x:row>
    <x:row r="108" ht="15" hidden="0" customHeight="1">
      <x:c r="A108" s="17" t="str">
        <x:v>PS-S05</x:v>
      </x:c>
      <x:c r="B108" s="17" t="str">
        <x:v>PS-WAR-RUSSET</x:v>
      </x:c>
      <x:c r="C108" s="17" t="str">
        <x:v>Younger’s russet gift mantle</x:v>
      </x:c>
      <x:c r="D108" s="17" t="str">
        <x:v>Gift, threshold talk, travel, display and sale.</x:v>
      </x:c>
    </x:row>
    <x:row r="109" ht="15" hidden="0" customHeight="1">
      <x:c r="A109" s="18" t="str">
        <x:v>PS-S05</x:v>
      </x:c>
      <x:c r="B109" s="18" t="str">
        <x:v>PS-WAR-YOUNGERSANDAL</x:v>
      </x:c>
      <x:c r="C109" s="18" t="str">
        <x:v>Younger’s original sandals</x:v>
      </x:c>
      <x:c r="D109" s="18" t="str">
        <x:v>Original footwear and return-journey failure.</x:v>
      </x:c>
    </x:row>
    <x:row r="110" ht="15" hidden="0" customHeight="1">
      <x:c r="A110" s="17" t="str">
        <x:v>PS-S05</x:v>
      </x:c>
      <x:c r="B110" s="17" t="str">
        <x:v>PS-WAR-YOUNGERTUNIC</x:v>
      </x:c>
      <x:c r="C110" s="17" t="str">
        <x:v>Younger’s plain tunic</x:v>
      </x:c>
      <x:c r="D110" s="17" t="str">
        <x:v>Core garment through entire younger-son story.</x:v>
      </x:c>
    </x:row>
    <x:row r="111" ht="15" hidden="0" customHeight="1">
      <x:c r="A111" s="18" t="str">
        <x:v>PS-S06</x:v>
      </x:c>
      <x:c r="B111" s="18" t="str">
        <x:v>PS-CHR-ELDER</x:v>
      </x:c>
      <x:c r="C111" s="18" t="str">
        <x:v>Elder son</x:v>
      </x:c>
      <x:c r="D111" s="18" t="str">
        <x:v>Elder present in family and field action.</x:v>
      </x:c>
    </x:row>
    <x:row r="112" ht="15" hidden="0" customHeight="1">
      <x:c r="A112" s="17" t="str">
        <x:v>PS-S06</x:v>
      </x:c>
      <x:c r="B112" s="17" t="str">
        <x:v>PS-CHR-FATHER</x:v>
      </x:c>
      <x:c r="C112" s="17" t="str">
        <x:v>Father</x:v>
      </x:c>
      <x:c r="D112" s="17" t="str">
        <x:v>Divides property between both sons; walks boundary with elder.</x:v>
      </x:c>
    </x:row>
    <x:row r="113" ht="15" hidden="0" customHeight="1">
      <x:c r="A113" s="18" t="str">
        <x:v>PS-S06</x:v>
      </x:c>
      <x:c r="B113" s="18" t="str">
        <x:v>PS-CHR-MATTAN</x:v>
      </x:c>
      <x:c r="C113" s="18" t="str">
        <x:v>Mattan, steward</x:v>
      </x:c>
      <x:c r="D113" s="18" t="str">
        <x:v>Steward, carrier liaison and trusted household helper.</x:v>
      </x:c>
    </x:row>
    <x:row r="114" ht="15" hidden="0" customHeight="1">
      <x:c r="A114" s="17" t="str">
        <x:v>PS-S06</x:v>
      </x:c>
      <x:c r="B114" s="17" t="str">
        <x:v>PS-CHR-YOUNGER</x:v>
      </x:c>
      <x:c r="C114" s="17" t="str">
        <x:v>Younger son</x:v>
      </x:c>
      <x:c r="D114" s="17" t="str">
        <x:v>Younger son present in action.</x:v>
      </x:c>
    </x:row>
    <x:row r="115" ht="15" hidden="0" customHeight="1">
      <x:c r="A115" s="18" t="str">
        <x:v>PS-S06</x:v>
      </x:c>
      <x:c r="B115" s="18" t="str">
        <x:v>PS-EXT-HOMEWORKERS</x:v>
      </x:c>
      <x:c r="C115" s="18" t="str">
        <x:v>Household workers and second servant</x:v>
      </x:c>
      <x:c r="D115" s="18" t="str">
        <x:v>Work, eat and prepare household celebration.</x:v>
      </x:c>
    </x:row>
    <x:row r="116" ht="15" hidden="0" customHeight="1">
      <x:c r="A116" s="17" t="str">
        <x:v>PS-S06</x:v>
      </x:c>
      <x:c r="B116" s="17" t="str">
        <x:v>PS-FOD-GRAIN</x:v>
      </x:c>
      <x:c r="C116" s="17" t="str">
        <x:v>Stored grain and spill</x:v>
      </x:c>
      <x:c r="D116" s="17" t="str">
        <x:v>Farm stores and elder’s apology.</x:v>
      </x:c>
    </x:row>
    <x:row r="117" ht="15" hidden="0" customHeight="1">
      <x:c r="A117" s="18" t="str">
        <x:v>PS-S06</x:v>
      </x:c>
      <x:c r="B117" s="18" t="str">
        <x:v>PS-FOD-TRAVEL</x:v>
      </x:c>
      <x:c r="C117" s="18" t="str">
        <x:v>Departure and roadside food portions</x:v>
      </x:c>
      <x:c r="D117" s="18" t="str">
        <x:v>Provisions and last sale of garment.</x:v>
      </x:c>
    </x:row>
    <x:row r="118" ht="15" hidden="0" customHeight="1">
      <x:c r="A118" s="17" t="str">
        <x:v>PS-S06</x:v>
      </x:c>
      <x:c r="B118" s="17" t="str">
        <x:v>PS-GRM-ELDERPALM</x:v>
      </x:c>
      <x:c r="C118" s="17" t="str">
        <x:v>Elder’s left palm wound and scar</x:v>
      </x:c>
      <x:c r="D118" s="17" t="str">
        <x:v>Hand care, concealed overwork and thumb pressing scar.</x:v>
      </x:c>
    </x:row>
    <x:row r="119" ht="15" hidden="0" customHeight="1">
      <x:c r="A119" s="18" t="str">
        <x:v>PS-S06</x:v>
      </x:c>
      <x:c r="B119" s="18" t="str">
        <x:v>PS-GRM-YOUNGERHOME</x:v>
      </x:c>
      <x:c r="C119" s="18" t="str">
        <x:v>Younger at home and early abroad</x:v>
      </x:c>
      <x:c r="D119" s="18" t="str">
        <x:v>Canonical younger identity before severe hunger.</x:v>
      </x:c>
    </x:row>
    <x:row r="120" ht="15" hidden="0" customHeight="1">
      <x:c r="A120" s="17" t="str">
        <x:v>PS-S06</x:v>
      </x:c>
      <x:c r="B120" s="17" t="str">
        <x:v>PS-LOC-COURTYARD</x:v>
      </x:c>
      <x:c r="C120" s="17" t="str">
        <x:v>Working family courtyard</x:v>
      </x:c>
      <x:c r="D120" s="17" t="str">
        <x:v>Household arrival, meals, work, care and restoration.</x:v>
      </x:c>
    </x:row>
    <x:row r="121" ht="15" hidden="0" customHeight="1">
      <x:c r="A121" s="18" t="str">
        <x:v>PS-S06</x:v>
      </x:c>
      <x:c r="B121" s="18" t="str">
        <x:v>PS-LOC-HOMESTEAD</x:v>
      </x:c>
      <x:c r="C121" s="18" t="str">
        <x:v>Family farm geography</x:v>
      </x:c>
      <x:c r="D121" s="18" t="str">
        <x:v>Master relationship of road, courtyard entrance, fields and wall.</x:v>
      </x:c>
    </x:row>
    <x:row r="122" ht="15" hidden="0" customHeight="1">
      <x:c r="A122" s="17" t="str">
        <x:v>PS-S06</x:v>
      </x:c>
      <x:c r="B122" s="17" t="str">
        <x:v>PS-LOC-STORE</x:v>
      </x:c>
      <x:c r="C122" s="17" t="str">
        <x:v>Family store room</x:v>
      </x:c>
      <x:c r="D122" s="17" t="str">
        <x:v>Property division and elder’s apology after basket failure.</x:v>
      </x:c>
    </x:row>
    <x:row r="123" ht="15" hidden="0" customHeight="1">
      <x:c r="A123" s="18" t="str">
        <x:v>PS-S06</x:v>
      </x:c>
      <x:c r="B123" s="18" t="str">
        <x:v>PS-LOC-TERRACE</x:v>
      </x:c>
      <x:c r="C123" s="18" t="str">
        <x:v>Upper terrace and retaining wall</x:v>
      </x:c>
      <x:c r="D123" s="18" t="str">
        <x:v>Field work and elder/father meals.</x:v>
      </x:c>
    </x:row>
    <x:row r="124" ht="15" hidden="0" customHeight="1">
      <x:c r="A124" s="17" t="str">
        <x:v>PS-S06</x:v>
      </x:c>
      <x:c r="B124" s="17" t="str">
        <x:v>PS-PRP-BALANCE</x:v>
      </x:c>
      <x:c r="C124" s="17" t="str">
        <x:v>Shallow silver balance</x:v>
      </x:c>
      <x:c r="D124" s="17" t="str">
        <x:v>Silver division insert and store table.</x:v>
      </x:c>
    </x:row>
    <x:row r="125" ht="15" hidden="0" customHeight="1">
      <x:c r="A125" s="18" t="str">
        <x:v>PS-S06</x:v>
      </x:c>
      <x:c r="B125" s="18" t="str">
        <x:v>PS-PRP-BASKETMENDED</x:v>
      </x:c>
      <x:c r="C125" s="18" t="str">
        <x:v>Damaged basket and younger’s repair</x:v>
      </x:c>
      <x:c r="D125" s="18" t="str">
        <x:v>Visual connection between brothers through practical care.</x:v>
      </x:c>
    </x:row>
    <x:row r="126" ht="15" hidden="0" customHeight="1">
      <x:c r="A126" s="17" t="str">
        <x:v>PS-S06</x:v>
      </x:c>
      <x:c r="B126" s="17" t="str">
        <x:v>PS-PRP-BEDDING</x:v>
      </x:c>
      <x:c r="C126" s="17" t="str">
        <x:v>Younger’s bedding and clothing bundle</x:v>
      </x:c>
      <x:c r="D126" s="17" t="str">
        <x:v>Travel belongings and shelter.</x:v>
      </x:c>
    </x:row>
    <x:row r="127" ht="15" hidden="0" customHeight="1">
      <x:c r="A127" s="18" t="str">
        <x:v>PS-S06</x:v>
      </x:c>
      <x:c r="B127" s="18" t="str">
        <x:v>PS-PRP-COINCLOTH</x:v>
      </x:c>
      <x:c r="C127" s="18" t="str">
        <x:v>Coin-counting cloth and bundles</x:v>
      </x:c>
      <x:c r="D127" s="18" t="str">
        <x:v>Portable wealth layout.</x:v>
      </x:c>
    </x:row>
    <x:row r="128" ht="15" hidden="0" customHeight="1">
      <x:c r="A128" s="17" t="str">
        <x:v>PS-S06</x:v>
      </x:c>
      <x:c r="B128" s="17" t="str">
        <x:v>PS-PRP-COINS</x:v>
      </x:c>
      <x:c r="C128" s="17" t="str">
        <x:v>Silver and copper money</x:v>
      </x:c>
      <x:c r="D128" s="17" t="str">
        <x:v>Inheritance, excess payments, debt and scarcity.</x:v>
      </x:c>
    </x:row>
    <x:row r="129" ht="15" hidden="0" customHeight="1">
      <x:c r="A129" s="18" t="str">
        <x:v>PS-S06</x:v>
      </x:c>
      <x:c r="B129" s="18" t="str">
        <x:v>PS-PRP-DAMAGEDBASKETS</x:v>
      </x:c>
      <x:c r="C129" s="18" t="str">
        <x:v>Other damaged baskets being sorted</x:v>
      </x:c>
      <x:c r="D129" s="18" t="str">
        <x:v>Division montage shows redistributed practical duty.</x:v>
      </x:c>
    </x:row>
    <x:row r="130" ht="15" hidden="0" customHeight="1">
      <x:c r="A130" s="17" t="str">
        <x:v>PS-S06</x:v>
      </x:c>
      <x:c r="B130" s="17" t="str">
        <x:v>PS-PRP-ESTATEDOC</x:v>
      </x:c>
      <x:c r="C130" s="17" t="str">
        <x:v>Written estate division</x:v>
      </x:c>
      <x:c r="D130" s="17" t="str">
        <x:v>Father and Mattan examine division and bundles.</x:v>
      </x:c>
    </x:row>
    <x:row r="131" ht="15" hidden="0" customHeight="1">
      <x:c r="A131" s="18" t="str">
        <x:v>PS-S06</x:v>
      </x:c>
      <x:c r="B131" s="18" t="str">
        <x:v>PS-PRP-FIELDSTONES</x:v>
      </x:c>
      <x:c r="C131" s="18" t="str">
        <x:v>Retaining-wall loose fieldstones</x:v>
      </x:c>
      <x:c r="D131" s="18" t="str">
        <x:v>Wall labor and progress.</x:v>
      </x:c>
    </x:row>
    <x:row r="132" ht="15" hidden="0" customHeight="1">
      <x:c r="A132" s="17" t="str">
        <x:v>PS-S06</x:v>
      </x:c>
      <x:c r="B132" s="17" t="str">
        <x:v>PS-PRP-MONEYPOUCH</x:v>
      </x:c>
      <x:c r="C132" s="17" t="str">
        <x:v>Younger’s money pouch</x:v>
      </x:c>
      <x:c r="D132" s="17" t="str">
        <x:v>Money and status object.</x:v>
      </x:c>
    </x:row>
    <x:row r="133" ht="15" hidden="0" customHeight="1">
      <x:c r="A133" s="18" t="str">
        <x:v>PS-S06</x:v>
      </x:c>
      <x:c r="B133" s="18" t="str">
        <x:v>PS-PRP-PALMCLOTH</x:v>
      </x:c>
      <x:c r="C133" s="18" t="str">
        <x:v>Elder’s hand dressing cloth</x:v>
      </x:c>
      <x:c r="D133" s="18" t="str">
        <x:v>Father’s hand care continuity.</x:v>
      </x:c>
    </x:row>
    <x:row r="134" ht="15" hidden="0" customHeight="1">
      <x:c r="A134" s="17" t="str">
        <x:v>PS-S06</x:v>
      </x:c>
      <x:c r="B134" s="17" t="str">
        <x:v>PS-PRP-WALLCORD</x:v>
      </x:c>
      <x:c r="C134" s="17" t="str">
        <x:v>Wall setting line and cord</x:v>
      </x:c>
      <x:c r="D134" s="17" t="str">
        <x:v>Brothers hold alignment; repair continues.</x:v>
      </x:c>
    </x:row>
    <x:row r="135" ht="15" hidden="0" customHeight="1">
      <x:c r="A135" s="18" t="str">
        <x:v>PS-S06</x:v>
      </x:c>
      <x:c r="B135" s="18" t="str">
        <x:v>PS-PRP-WATERSKIN</x:v>
      </x:c>
      <x:c r="C135" s="18" t="str">
        <x:v>Elder’s repaired waterskin</x:v>
      </x:c>
      <x:c r="D135" s="18" t="str">
        <x:v>Travel support and brotherly care object.</x:v>
      </x:c>
    </x:row>
    <x:row r="136" ht="15" hidden="0" customHeight="1">
      <x:c r="A136" s="17" t="str">
        <x:v>PS-S06</x:v>
      </x:c>
      <x:c r="B136" s="17" t="str">
        <x:v>PS-PRP-WRITING</x:v>
      </x:c>
      <x:c r="C136" s="17" t="str">
        <x:v>Inkwell, reed pen and document ties</x:v>
      </x:c>
      <x:c r="D136" s="17" t="str">
        <x:v>Estate documentation setup.</x:v>
      </x:c>
    </x:row>
    <x:row r="137" ht="15" hidden="0" customHeight="1">
      <x:c r="A137" s="18" t="str">
        <x:v>PS-S06</x:v>
      </x:c>
      <x:c r="B137" s="18" t="str">
        <x:v>PS-SET-HOMEAWNING</x:v>
      </x:c>
      <x:c r="C137" s="18" t="str">
        <x:v>Home awning and textile coverings</x:v>
      </x:c>
      <x:c r="D137" s="18" t="str">
        <x:v>Working-yard continuity.</x:v>
      </x:c>
    </x:row>
    <x:row r="138" ht="15" hidden="0" customHeight="1">
      <x:c r="A138" s="17" t="str">
        <x:v>PS-S06</x:v>
      </x:c>
      <x:c r="B138" s="17" t="str">
        <x:v>PS-SET-HOMEVESSELS</x:v>
      </x:c>
      <x:c r="C138" s="17" t="str">
        <x:v>Home jars, cups and storage vessels</x:v>
      </x:c>
      <x:c r="D138" s="17" t="str">
        <x:v>Prosperous working household background and handling.</x:v>
      </x:c>
    </x:row>
    <x:row r="139" ht="15" hidden="0" customHeight="1">
      <x:c r="A139" s="18" t="str">
        <x:v>PS-S06</x:v>
      </x:c>
      <x:c r="B139" s="18" t="str">
        <x:v>PS-WAR-ELDER</x:v>
      </x:c>
      <x:c r="C139" s="18" t="str">
        <x:v>Elder’s work tunic and sandals</x:v>
      </x:c>
      <x:c r="D139" s="18" t="str">
        <x:v>Elder’s ordinary clothing through unresolved ending.</x:v>
      </x:c>
    </x:row>
    <x:row r="140" ht="15" hidden="0" customHeight="1">
      <x:c r="A140" s="17" t="str">
        <x:v>PS-S06</x:v>
      </x:c>
      <x:c r="B140" s="17" t="str">
        <x:v>PS-WAR-FATHER</x:v>
      </x:c>
      <x:c r="C140" s="17" t="str">
        <x:v>Father’s everyday clothes and mantle</x:v>
      </x:c>
      <x:c r="D140" s="17" t="str">
        <x:v>Father’s home scenes and continuous reunion.</x:v>
      </x:c>
    </x:row>
    <x:row r="141" ht="15" hidden="0" customHeight="1">
      <x:c r="A141" s="18" t="str">
        <x:v>PS-S06</x:v>
      </x:c>
      <x:c r="B141" s="18" t="str">
        <x:v>PS-WAR-HOMEKIT</x:v>
      </x:c>
      <x:c r="C141" s="18" t="str">
        <x:v>Home workers and neighbors’ clothing</x:v>
      </x:c>
      <x:c r="D141" s="18" t="str">
        <x:v>Home supporting cast and feast costume consistency.</x:v>
      </x:c>
    </x:row>
    <x:row r="142" ht="15" hidden="0" customHeight="1">
      <x:c r="A142" s="17" t="str">
        <x:v>PS-S06</x:v>
      </x:c>
      <x:c r="B142" s="17" t="str">
        <x:v>PS-WAR-RUSSET</x:v>
      </x:c>
      <x:c r="C142" s="17" t="str">
        <x:v>Younger’s russet gift mantle</x:v>
      </x:c>
      <x:c r="D142" s="17" t="str">
        <x:v>Gift, threshold talk, travel, display and sale.</x:v>
      </x:c>
    </x:row>
    <x:row r="143" ht="15" hidden="0" customHeight="1">
      <x:c r="A143" s="18" t="str">
        <x:v>PS-S06</x:v>
      </x:c>
      <x:c r="B143" s="18" t="str">
        <x:v>PS-WAR-YOUNGERSANDAL</x:v>
      </x:c>
      <x:c r="C143" s="18" t="str">
        <x:v>Younger’s original sandals</x:v>
      </x:c>
      <x:c r="D143" s="18" t="str">
        <x:v>Original footwear and return-journey failure.</x:v>
      </x:c>
    </x:row>
    <x:row r="144" ht="15" hidden="0" customHeight="1">
      <x:c r="A144" s="17" t="str">
        <x:v>PS-S06</x:v>
      </x:c>
      <x:c r="B144" s="17" t="str">
        <x:v>PS-WAR-YOUNGERTUNIC</x:v>
      </x:c>
      <x:c r="C144" s="17" t="str">
        <x:v>Younger’s plain tunic</x:v>
      </x:c>
      <x:c r="D144" s="17" t="str">
        <x:v>Core garment through entire younger-son story.</x:v>
      </x:c>
    </x:row>
    <x:row r="145" ht="15" hidden="0" customHeight="1">
      <x:c r="A145" s="18" t="str">
        <x:v>PS-S07</x:v>
      </x:c>
      <x:c r="B145" s="18" t="str">
        <x:v>PS-ANM-PACKDONKEY</x:v>
      </x:c>
      <x:c r="C145" s="18" t="str">
        <x:v>Carriers’ pack donkey</x:v>
      </x:c>
      <x:c r="D145" s="18" t="str">
        <x:v>Carries travel bundles and bedding.</x:v>
      </x:c>
    </x:row>
    <x:row r="146" ht="15" hidden="0" customHeight="1">
      <x:c r="A146" s="17" t="str">
        <x:v>PS-S07</x:v>
      </x:c>
      <x:c r="B146" s="17" t="str">
        <x:v>PS-CHR-ELDER</x:v>
      </x:c>
      <x:c r="C146" s="17" t="str">
        <x:v>Elder son</x:v>
      </x:c>
      <x:c r="D146" s="17" t="str">
        <x:v>Elder present in family and field action.</x:v>
      </x:c>
    </x:row>
    <x:row r="147" ht="15" hidden="0" customHeight="1">
      <x:c r="A147" s="18" t="str">
        <x:v>PS-S07</x:v>
      </x:c>
      <x:c r="B147" s="18" t="str">
        <x:v>PS-CHR-FATHER</x:v>
      </x:c>
      <x:c r="C147" s="18" t="str">
        <x:v>Father</x:v>
      </x:c>
      <x:c r="D147" s="18" t="str">
        <x:v>Departure embrace; remains on road with elder.</x:v>
      </x:c>
    </x:row>
    <x:row r="148" ht="15" hidden="0" customHeight="1">
      <x:c r="A148" s="17" t="str">
        <x:v>PS-S07</x:v>
      </x:c>
      <x:c r="B148" s="17" t="str">
        <x:v>PS-CHR-HANNAH</x:v>
      </x:c>
      <x:c r="C148" s="17" t="str">
        <x:v>Hannah, kitchen manager</x:v>
      </x:c>
      <x:c r="D148" s="17" t="str">
        <x:v>Household food and care work.</x:v>
      </x:c>
    </x:row>
    <x:row r="149" ht="15" hidden="0" customHeight="1">
      <x:c r="A149" s="18" t="str">
        <x:v>PS-S07</x:v>
      </x:c>
      <x:c r="B149" s="18" t="str">
        <x:v>PS-CHR-MATTAN</x:v>
      </x:c>
      <x:c r="C149" s="18" t="str">
        <x:v>Mattan, steward</x:v>
      </x:c>
      <x:c r="D149" s="18" t="str">
        <x:v>Steward, carrier liaison and trusted household helper.</x:v>
      </x:c>
    </x:row>
    <x:row r="150" ht="15" hidden="0" customHeight="1">
      <x:c r="A150" s="17" t="str">
        <x:v>PS-S07</x:v>
      </x:c>
      <x:c r="B150" s="17" t="str">
        <x:v>PS-CHR-YOUNGER</x:v>
      </x:c>
      <x:c r="C150" s="17" t="str">
        <x:v>Younger son</x:v>
      </x:c>
      <x:c r="D150" s="17" t="str">
        <x:v>Younger son present in action.</x:v>
      </x:c>
    </x:row>
    <x:row r="151" ht="15" hidden="0" customHeight="1">
      <x:c r="A151" s="18" t="str">
        <x:v>PS-S07</x:v>
      </x:c>
      <x:c r="B151" s="18" t="str">
        <x:v>PS-EXT-CARRIERS</x:v>
      </x:c>
      <x:c r="C151" s="18" t="str">
        <x:v>Two hired carriers</x:v>
      </x:c>
      <x:c r="D151" s="18" t="str">
        <x:v>Carry bundles, wait on road, then part company with younger.</x:v>
      </x:c>
    </x:row>
    <x:row r="152" ht="15" hidden="0" customHeight="1">
      <x:c r="A152" s="17" t="str">
        <x:v>PS-S07</x:v>
      </x:c>
      <x:c r="B152" s="17" t="str">
        <x:v>PS-EXT-NEIGHBORWOMAN</x:v>
      </x:c>
      <x:c r="C152" s="17" t="str">
        <x:v>Neighbor drawing water</x:v>
      </x:c>
      <x:c r="D152" s="17" t="str">
        <x:v>Quiet social response at home road.</x:v>
      </x:c>
    </x:row>
    <x:row r="153" ht="15" hidden="0" customHeight="1">
      <x:c r="A153" s="18" t="str">
        <x:v>PS-S07</x:v>
      </x:c>
      <x:c r="B153" s="18" t="str">
        <x:v>PS-FOD-HOMEBREAD</x:v>
      </x:c>
      <x:c r="C153" s="18" t="str">
        <x:v>Home bread</x:v>
      </x:c>
      <x:c r="D153" s="18" t="str">
        <x:v>Bread shared, withheld from oneself, remembered and served.</x:v>
      </x:c>
    </x:row>
    <x:row r="154" ht="15" hidden="0" customHeight="1">
      <x:c r="A154" s="17" t="str">
        <x:v>PS-S07</x:v>
      </x:c>
      <x:c r="B154" s="17" t="str">
        <x:v>PS-FOD-TRAVEL</x:v>
      </x:c>
      <x:c r="C154" s="17" t="str">
        <x:v>Departure and roadside food portions</x:v>
      </x:c>
      <x:c r="D154" s="17" t="str">
        <x:v>Provisions and last sale of garment.</x:v>
      </x:c>
    </x:row>
    <x:row r="155" ht="15" hidden="0" customHeight="1">
      <x:c r="A155" s="18" t="str">
        <x:v>PS-S07</x:v>
      </x:c>
      <x:c r="B155" s="18" t="str">
        <x:v>PS-GRM-ELDERPALM</x:v>
      </x:c>
      <x:c r="C155" s="18" t="str">
        <x:v>Elder’s left palm wound and scar</x:v>
      </x:c>
      <x:c r="D155" s="18" t="str">
        <x:v>Hand care, concealed overwork and thumb pressing scar.</x:v>
      </x:c>
    </x:row>
    <x:row r="156" ht="15" hidden="0" customHeight="1">
      <x:c r="A156" s="17" t="str">
        <x:v>PS-S07</x:v>
      </x:c>
      <x:c r="B156" s="17" t="str">
        <x:v>PS-GRM-YOUNGERHOME</x:v>
      </x:c>
      <x:c r="C156" s="17" t="str">
        <x:v>Younger at home and early abroad</x:v>
      </x:c>
      <x:c r="D156" s="17" t="str">
        <x:v>Canonical younger identity before severe hunger.</x:v>
      </x:c>
    </x:row>
    <x:row r="157" ht="15" hidden="0" customHeight="1">
      <x:c r="A157" s="18" t="str">
        <x:v>PS-S07</x:v>
      </x:c>
      <x:c r="B157" s="18" t="str">
        <x:v>PS-LOC-COURTYARD</x:v>
      </x:c>
      <x:c r="C157" s="18" t="str">
        <x:v>Working family courtyard</x:v>
      </x:c>
      <x:c r="D157" s="18" t="str">
        <x:v>Household arrival, meals, work, care and restoration.</x:v>
      </x:c>
    </x:row>
    <x:row r="158" ht="15" hidden="0" customHeight="1">
      <x:c r="A158" s="17" t="str">
        <x:v>PS-S07</x:v>
      </x:c>
      <x:c r="B158" s="17" t="str">
        <x:v>PS-LOC-ENTRANCE</x:v>
      </x:c>
      <x:c r="C158" s="17" t="str">
        <x:v>Courtyard threshold and road entrance</x:v>
      </x:c>
      <x:c r="D158" s="17" t="str">
        <x:v>Departure, brother conversation, father’s recognition and final refusal/invitation.</x:v>
      </x:c>
    </x:row>
    <x:row r="159" ht="15" hidden="0" customHeight="1">
      <x:c r="A159" s="18" t="str">
        <x:v>PS-S07</x:v>
      </x:c>
      <x:c r="B159" s="18" t="str">
        <x:v>PS-LOC-HOMEROAD</x:v>
      </x:c>
      <x:c r="C159" s="18" t="str">
        <x:v>Home road and field approach</x:v>
      </x:c>
      <x:c r="D159" s="18" t="str">
        <x:v>Father arrives/departure and younger’s return.</x:v>
      </x:c>
    </x:row>
    <x:row r="160" ht="15" hidden="0" customHeight="1">
      <x:c r="A160" s="17" t="str">
        <x:v>PS-S07</x:v>
      </x:c>
      <x:c r="B160" s="17" t="str">
        <x:v>PS-LOC-HOMESTEAD</x:v>
      </x:c>
      <x:c r="C160" s="17" t="str">
        <x:v>Family farm geography</x:v>
      </x:c>
      <x:c r="D160" s="17" t="str">
        <x:v>Master relationship of road, courtyard entrance, fields and wall.</x:v>
      </x:c>
    </x:row>
    <x:row r="161" ht="15" hidden="0" customHeight="1">
      <x:c r="A161" s="18" t="str">
        <x:v>PS-S07</x:v>
      </x:c>
      <x:c r="B161" s="18" t="str">
        <x:v>PS-PRP-BASKETSOUND</x:v>
      </x:c>
      <x:c r="C161" s="18" t="str">
        <x:v>Elder’s sound basket for Levi</x:v>
      </x:c>
      <x:c r="D161" s="18" t="str">
        <x:v>Work basket exchange and home labor.</x:v>
      </x:c>
    </x:row>
    <x:row r="162" ht="15" hidden="0" customHeight="1">
      <x:c r="A162" s="17" t="str">
        <x:v>PS-S07</x:v>
      </x:c>
      <x:c r="B162" s="17" t="str">
        <x:v>PS-PRP-BEDDING</x:v>
      </x:c>
      <x:c r="C162" s="17" t="str">
        <x:v>Younger’s bedding and clothing bundle</x:v>
      </x:c>
      <x:c r="D162" s="17" t="str">
        <x:v>Travel belongings and shelter.</x:v>
      </x:c>
    </x:row>
    <x:row r="163" ht="15" hidden="0" customHeight="1">
      <x:c r="A163" s="18" t="str">
        <x:v>PS-S07</x:v>
      </x:c>
      <x:c r="B163" s="18" t="str">
        <x:v>PS-PRP-BREADCLOTH</x:v>
      </x:c>
      <x:c r="C163" s="18" t="str">
        <x:v>Hannah’s bread wrapping cloth</x:v>
      </x:c>
      <x:c r="D163" s="18" t="str">
        <x:v>Memory object prompting hunger/home realization.</x:v>
      </x:c>
    </x:row>
    <x:row r="164" ht="15" hidden="0" customHeight="1">
      <x:c r="A164" s="17" t="str">
        <x:v>PS-S07</x:v>
      </x:c>
      <x:c r="B164" s="17" t="str">
        <x:v>PS-PRP-MONEYPOUCH</x:v>
      </x:c>
      <x:c r="C164" s="17" t="str">
        <x:v>Younger’s money pouch</x:v>
      </x:c>
      <x:c r="D164" s="17" t="str">
        <x:v>Money and status object.</x:v>
      </x:c>
    </x:row>
    <x:row r="165" ht="15" hidden="0" customHeight="1">
      <x:c r="A165" s="18" t="str">
        <x:v>PS-S07</x:v>
      </x:c>
      <x:c r="B165" s="18" t="str">
        <x:v>PS-PRP-PACKTACK</x:v>
      </x:c>
      <x:c r="C165" s="18" t="str">
        <x:v>Donkey pack saddles and tied baggage</x:v>
      </x:c>
      <x:c r="D165" s="18" t="str">
        <x:v>Carriers’ transport kit.</x:v>
      </x:c>
    </x:row>
    <x:row r="166" ht="15" hidden="0" customHeight="1">
      <x:c r="A166" s="17" t="str">
        <x:v>PS-S07</x:v>
      </x:c>
      <x:c r="B166" s="17" t="str">
        <x:v>PS-PRP-PALMCLOTH</x:v>
      </x:c>
      <x:c r="C166" s="17" t="str">
        <x:v>Elder’s hand dressing cloth</x:v>
      </x:c>
      <x:c r="D166" s="17" t="str">
        <x:v>Father’s hand care continuity.</x:v>
      </x:c>
    </x:row>
    <x:row r="167" ht="15" hidden="0" customHeight="1">
      <x:c r="A167" s="18" t="str">
        <x:v>PS-S07</x:v>
      </x:c>
      <x:c r="B167" s="18" t="str">
        <x:v>PS-PRP-WATERSKIN</x:v>
      </x:c>
      <x:c r="C167" s="18" t="str">
        <x:v>Elder’s repaired waterskin</x:v>
      </x:c>
      <x:c r="D167" s="18" t="str">
        <x:v>Travel support and brotherly care object.</x:v>
      </x:c>
    </x:row>
    <x:row r="168" ht="15" hidden="0" customHeight="1">
      <x:c r="A168" s="17" t="str">
        <x:v>PS-S07</x:v>
      </x:c>
      <x:c r="B168" s="17" t="str">
        <x:v>PS-WAR-ELDER</x:v>
      </x:c>
      <x:c r="C168" s="17" t="str">
        <x:v>Elder’s work tunic and sandals</x:v>
      </x:c>
      <x:c r="D168" s="17" t="str">
        <x:v>Elder’s ordinary clothing through unresolved ending.</x:v>
      </x:c>
    </x:row>
    <x:row r="169" ht="15" hidden="0" customHeight="1">
      <x:c r="A169" s="18" t="str">
        <x:v>PS-S07</x:v>
      </x:c>
      <x:c r="B169" s="18" t="str">
        <x:v>PS-WAR-FATHER</x:v>
      </x:c>
      <x:c r="C169" s="18" t="str">
        <x:v>Father’s everyday clothes and mantle</x:v>
      </x:c>
      <x:c r="D169" s="18" t="str">
        <x:v>Father’s home scenes and continuous reunion.</x:v>
      </x:c>
    </x:row>
    <x:row r="170" ht="15" hidden="0" customHeight="1">
      <x:c r="A170" s="17" t="str">
        <x:v>PS-S07</x:v>
      </x:c>
      <x:c r="B170" s="17" t="str">
        <x:v>PS-WAR-HOMEKIT</x:v>
      </x:c>
      <x:c r="C170" s="17" t="str">
        <x:v>Home workers and neighbors’ clothing</x:v>
      </x:c>
      <x:c r="D170" s="17" t="str">
        <x:v>Home supporting cast and feast costume consistency.</x:v>
      </x:c>
    </x:row>
    <x:row r="171" ht="15" hidden="0" customHeight="1">
      <x:c r="A171" s="18" t="str">
        <x:v>PS-S07</x:v>
      </x:c>
      <x:c r="B171" s="18" t="str">
        <x:v>PS-WAR-RUSSET</x:v>
      </x:c>
      <x:c r="C171" s="18" t="str">
        <x:v>Younger’s russet gift mantle</x:v>
      </x:c>
      <x:c r="D171" s="18" t="str">
        <x:v>Gift, threshold talk, travel, display and sale.</x:v>
      </x:c>
    </x:row>
    <x:row r="172" ht="15" hidden="0" customHeight="1">
      <x:c r="A172" s="17" t="str">
        <x:v>PS-S07</x:v>
      </x:c>
      <x:c r="B172" s="17" t="str">
        <x:v>PS-WAR-YOUNGERSANDAL</x:v>
      </x:c>
      <x:c r="C172" s="17" t="str">
        <x:v>Younger’s original sandals</x:v>
      </x:c>
      <x:c r="D172" s="17" t="str">
        <x:v>Original footwear and return-journey failure.</x:v>
      </x:c>
    </x:row>
    <x:row r="173" ht="15" hidden="0" customHeight="1">
      <x:c r="A173" s="18" t="str">
        <x:v>PS-S07</x:v>
      </x:c>
      <x:c r="B173" s="18" t="str">
        <x:v>PS-WAR-YOUNGERTUNIC</x:v>
      </x:c>
      <x:c r="C173" s="18" t="str">
        <x:v>Younger’s plain tunic</x:v>
      </x:c>
      <x:c r="D173" s="18" t="str">
        <x:v>Core garment through entire younger-son story.</x:v>
      </x:c>
    </x:row>
    <x:row r="174" ht="15" hidden="0" customHeight="1">
      <x:c r="A174" s="17" t="str">
        <x:v>PS-S08</x:v>
      </x:c>
      <x:c r="B174" s="17" t="str">
        <x:v>PS-ANM-PACKDONKEY</x:v>
      </x:c>
      <x:c r="C174" s="17" t="str">
        <x:v>Carriers’ pack donkey</x:v>
      </x:c>
      <x:c r="D174" s="17" t="str">
        <x:v>Carries travel bundles and bedding.</x:v>
      </x:c>
    </x:row>
    <x:row r="175" ht="15" hidden="0" customHeight="1">
      <x:c r="A175" s="18" t="str">
        <x:v>PS-S08</x:v>
      </x:c>
      <x:c r="B175" s="18" t="str">
        <x:v>PS-CHR-YOUNGER</x:v>
      </x:c>
      <x:c r="C175" s="18" t="str">
        <x:v>Younger son</x:v>
      </x:c>
      <x:c r="D175" s="18" t="str">
        <x:v>Younger son present in action.</x:v>
      </x:c>
    </x:row>
    <x:row r="176" ht="15" hidden="0" customHeight="1">
      <x:c r="A176" s="17" t="str">
        <x:v>PS-S08</x:v>
      </x:c>
      <x:c r="B176" s="17" t="str">
        <x:v>PS-EXT-CARRIERS</x:v>
      </x:c>
      <x:c r="C176" s="17" t="str">
        <x:v>Two hired carriers</x:v>
      </x:c>
      <x:c r="D176" s="17" t="str">
        <x:v>Carry bundles, wait on road, then part company with younger.</x:v>
      </x:c>
    </x:row>
    <x:row r="177" ht="15" hidden="0" customHeight="1">
      <x:c r="A177" s="18" t="str">
        <x:v>PS-S08</x:v>
      </x:c>
      <x:c r="B177" s="18" t="str">
        <x:v>PS-EXT-OLDTRAVELER</x:v>
      </x:c>
      <x:c r="C177" s="18" t="str">
        <x:v>Old traveler at cistern</x:v>
      </x:c>
      <x:c r="D177" s="18" t="str">
        <x:v>Drinks before younger at roadside cistern.</x:v>
      </x:c>
    </x:row>
    <x:row r="178" ht="15" hidden="0" customHeight="1">
      <x:c r="A178" s="17" t="str">
        <x:v>PS-S08</x:v>
      </x:c>
      <x:c r="B178" s="17" t="str">
        <x:v>PS-FOD-TRAVEL</x:v>
      </x:c>
      <x:c r="C178" s="17" t="str">
        <x:v>Departure and roadside food portions</x:v>
      </x:c>
      <x:c r="D178" s="17" t="str">
        <x:v>Provisions and last sale of garment.</x:v>
      </x:c>
    </x:row>
    <x:row r="179" ht="15" hidden="0" customHeight="1">
      <x:c r="A179" s="18" t="str">
        <x:v>PS-S08</x:v>
      </x:c>
      <x:c r="B179" s="18" t="str">
        <x:v>PS-GFX-TITLE</x:v>
      </x:c>
      <x:c r="C179" s="18" t="str">
        <x:v>Film title typography</x:v>
      </x:c>
      <x:c r="D179" s="18" t="str">
        <x:v>Film title over landscape.</x:v>
      </x:c>
    </x:row>
    <x:row r="180" ht="15" hidden="0" customHeight="1">
      <x:c r="A180" s="17" t="str">
        <x:v>PS-S08</x:v>
      </x:c>
      <x:c r="B180" s="17" t="str">
        <x:v>PS-GRM-YOUNGERHOME</x:v>
      </x:c>
      <x:c r="C180" s="17" t="str">
        <x:v>Younger at home and early abroad</x:v>
      </x:c>
      <x:c r="D180" s="17" t="str">
        <x:v>Canonical younger identity before severe hunger.</x:v>
      </x:c>
    </x:row>
    <x:row r="181" ht="15" hidden="0" customHeight="1">
      <x:c r="A181" s="18" t="str">
        <x:v>PS-S08</x:v>
      </x:c>
      <x:c r="B181" s="18" t="str">
        <x:v>PS-LOC-JOURNEY</x:v>
      </x:c>
      <x:c r="C181" s="18" t="str">
        <x:v>Escarpment, ridge and road fork</x:v>
      </x:c>
      <x:c r="D181" s="18" t="str">
        <x:v>Departure expansiveness and difficult return.</x:v>
      </x:c>
    </x:row>
    <x:row r="182" ht="15" hidden="0" customHeight="1">
      <x:c r="A182" s="17" t="str">
        <x:v>PS-S08</x:v>
      </x:c>
      <x:c r="B182" s="17" t="str">
        <x:v>PS-LOC-ROADCISTERN</x:v>
      </x:c>
      <x:c r="C182" s="17" t="str">
        <x:v>Roadside cistern and resting place</x:v>
      </x:c>
      <x:c r="D182" s="17" t="str">
        <x:v>Rest, water and travel object transitions.</x:v>
      </x:c>
    </x:row>
    <x:row r="183" ht="15" hidden="0" customHeight="1">
      <x:c r="A183" s="18" t="str">
        <x:v>PS-S08</x:v>
      </x:c>
      <x:c r="B183" s="18" t="str">
        <x:v>PS-LOC-TOWN</x:v>
      </x:c>
      <x:c r="C183" s="18" t="str">
        <x:v>Unnamed foreign town</x:v>
      </x:c>
      <x:c r="D183" s="18" t="str">
        <x:v>Foreign destination and urban setting.</x:v>
      </x:c>
    </x:row>
    <x:row r="184" ht="15" hidden="0" customHeight="1">
      <x:c r="A184" s="17" t="str">
        <x:v>PS-S08</x:v>
      </x:c>
      <x:c r="B184" s="17" t="str">
        <x:v>PS-PRP-BEDDING</x:v>
      </x:c>
      <x:c r="C184" s="17" t="str">
        <x:v>Younger’s bedding and clothing bundle</x:v>
      </x:c>
      <x:c r="D184" s="17" t="str">
        <x:v>Travel belongings and shelter.</x:v>
      </x:c>
    </x:row>
    <x:row r="185" ht="15" hidden="0" customHeight="1">
      <x:c r="A185" s="18" t="str">
        <x:v>PS-S08</x:v>
      </x:c>
      <x:c r="B185" s="18" t="str">
        <x:v>PS-PRP-COINS</x:v>
      </x:c>
      <x:c r="C185" s="18" t="str">
        <x:v>Silver and copper money</x:v>
      </x:c>
      <x:c r="D185" s="18" t="str">
        <x:v>Inheritance, excess payments, debt and scarcity.</x:v>
      </x:c>
    </x:row>
    <x:row r="186" ht="15" hidden="0" customHeight="1">
      <x:c r="A186" s="17" t="str">
        <x:v>PS-S08</x:v>
      </x:c>
      <x:c r="B186" s="17" t="str">
        <x:v>PS-PRP-MONEYPOUCH</x:v>
      </x:c>
      <x:c r="C186" s="17" t="str">
        <x:v>Younger’s money pouch</x:v>
      </x:c>
      <x:c r="D186" s="17" t="str">
        <x:v>Money and status object.</x:v>
      </x:c>
    </x:row>
    <x:row r="187" ht="15" hidden="0" customHeight="1">
      <x:c r="A187" s="18" t="str">
        <x:v>PS-S08</x:v>
      </x:c>
      <x:c r="B187" s="18" t="str">
        <x:v>PS-PRP-PACKTACK</x:v>
      </x:c>
      <x:c r="C187" s="18" t="str">
        <x:v>Donkey pack saddles and tied baggage</x:v>
      </x:c>
      <x:c r="D187" s="18" t="str">
        <x:v>Carriers’ transport kit.</x:v>
      </x:c>
    </x:row>
    <x:row r="188" ht="15" hidden="0" customHeight="1">
      <x:c r="A188" s="17" t="str">
        <x:v>PS-S08</x:v>
      </x:c>
      <x:c r="B188" s="17" t="str">
        <x:v>PS-PRP-WATERSKIN</x:v>
      </x:c>
      <x:c r="C188" s="17" t="str">
        <x:v>Elder’s repaired waterskin</x:v>
      </x:c>
      <x:c r="D188" s="17" t="str">
        <x:v>Travel support and brotherly care object.</x:v>
      </x:c>
    </x:row>
    <x:row r="189" ht="15" hidden="0" customHeight="1">
      <x:c r="A189" s="18" t="str">
        <x:v>PS-S08</x:v>
      </x:c>
      <x:c r="B189" s="18" t="str">
        <x:v>PS-WAR-RUSSET</x:v>
      </x:c>
      <x:c r="C189" s="18" t="str">
        <x:v>Younger’s russet gift mantle</x:v>
      </x:c>
      <x:c r="D189" s="18" t="str">
        <x:v>Gift, threshold talk, travel, display and sale.</x:v>
      </x:c>
    </x:row>
    <x:row r="190" ht="15" hidden="0" customHeight="1">
      <x:c r="A190" s="17" t="str">
        <x:v>PS-S08</x:v>
      </x:c>
      <x:c r="B190" s="17" t="str">
        <x:v>PS-WAR-YOUNGERSANDAL</x:v>
      </x:c>
      <x:c r="C190" s="17" t="str">
        <x:v>Younger’s original sandals</x:v>
      </x:c>
      <x:c r="D190" s="17" t="str">
        <x:v>Original footwear and return-journey failure.</x:v>
      </x:c>
    </x:row>
    <x:row r="191" ht="15" hidden="0" customHeight="1">
      <x:c r="A191" s="18" t="str">
        <x:v>PS-S08</x:v>
      </x:c>
      <x:c r="B191" s="18" t="str">
        <x:v>PS-WAR-YOUNGERTUNIC</x:v>
      </x:c>
      <x:c r="C191" s="18" t="str">
        <x:v>Younger’s plain tunic</x:v>
      </x:c>
      <x:c r="D191" s="18" t="str">
        <x:v>Core garment through entire younger-son story.</x:v>
      </x:c>
    </x:row>
    <x:row r="192" ht="15" hidden="0" customHeight="1">
      <x:c r="A192" s="17" t="str">
        <x:v>PS-S09</x:v>
      </x:c>
      <x:c r="B192" s="17" t="str">
        <x:v>PS-CHR-BREADSELLER</x:v>
      </x:c>
      <x:c r="C192" s="17" t="str">
        <x:v>Bread seller</x:v>
      </x:c>
      <x:c r="D192" s="17" t="str">
        <x:v>Visible market seller with careful portioning and practical demeanor.</x:v>
      </x:c>
    </x:row>
    <x:row r="193" ht="15" hidden="0" customHeight="1">
      <x:c r="A193" s="18" t="str">
        <x:v>PS-S09</x:v>
      </x:c>
      <x:c r="B193" s="18" t="str">
        <x:v>PS-CHR-DAMON</x:v>
      </x:c>
      <x:c r="C193" s="18" t="str">
        <x:v>Damon</x:v>
      </x:c>
      <x:c r="D193" s="18" t="str">
        <x:v>Offers friendship, dances, later shares scarce bread with a child.</x:v>
      </x:c>
    </x:row>
    <x:row r="194" ht="15" hidden="0" customHeight="1">
      <x:c r="A194" s="17" t="str">
        <x:v>PS-S09</x:v>
      </x:c>
      <x:c r="B194" s="17" t="str">
        <x:v>PS-CHR-YOUNGER</x:v>
      </x:c>
      <x:c r="C194" s="17" t="str">
        <x:v>Younger son</x:v>
      </x:c>
      <x:c r="D194" s="17" t="str">
        <x:v>Younger son present in action.</x:v>
      </x:c>
    </x:row>
    <x:row r="195" ht="15" hidden="0" customHeight="1">
      <x:c r="A195" s="18" t="str">
        <x:v>PS-S09</x:v>
      </x:c>
      <x:c r="B195" s="18" t="str">
        <x:v>PS-EXT-CHILD</x:v>
      </x:c>
      <x:c r="C195" s="18" t="str">
        <x:v>Child at bread stall</x:v>
      </x:c>
      <x:c r="D195" s="18" t="str">
        <x:v>Child provides everyday market continuity.</x:v>
      </x:c>
    </x:row>
    <x:row r="196" ht="15" hidden="0" customHeight="1">
      <x:c r="A196" s="17" t="str">
        <x:v>PS-S09</x:v>
      </x:c>
      <x:c r="B196" s="17" t="str">
        <x:v>PS-EXT-GUESTS</x:v>
      </x:c>
      <x:c r="C196" s="17" t="str">
        <x:v>Foreign companions and serving woman</x:v>
      </x:c>
      <x:c r="D196" s="17" t="str">
        <x:v>Bench welcome, uneven laughter, dance, food service and thinning gatherings.</x:v>
      </x:c>
    </x:row>
    <x:row r="197" ht="15" hidden="0" customHeight="1">
      <x:c r="A197" s="18" t="str">
        <x:v>PS-S09</x:v>
      </x:c>
      <x:c r="B197" s="18" t="str">
        <x:v>PS-EXT-MARKET</x:v>
      </x:c>
      <x:c r="C197" s="18" t="str">
        <x:v>Foreign market workers and buyers</x:v>
      </x:c>
      <x:c r="D197" s="18" t="str">
        <x:v>Markets, garment sale, jar-carrying work and grain-store queue.</x:v>
      </x:c>
    </x:row>
    <x:row r="198" ht="15" hidden="0" customHeight="1">
      <x:c r="A198" s="17" t="str">
        <x:v>PS-S09</x:v>
      </x:c>
      <x:c r="B198" s="17" t="str">
        <x:v>PS-FOD-FOREIGNBANQUET</x:v>
      </x:c>
      <x:c r="C198" s="17" t="str">
        <x:v>Foreign meals and wine</x:v>
      </x:c>
      <x:c r="D198" s="17" t="str">
        <x:v>Spending to remain welcome.</x:v>
      </x:c>
    </x:row>
    <x:row r="199" ht="15" hidden="0" customHeight="1">
      <x:c r="A199" s="18" t="str">
        <x:v>PS-S09</x:v>
      </x:c>
      <x:c r="B199" s="18" t="str">
        <x:v>PS-FOD-MARKETBREAD</x:v>
      </x:c>
      <x:c r="C199" s="18" t="str">
        <x:v>Market bread and flour portions</x:v>
      </x:c>
      <x:c r="D199" s="18" t="str">
        <x:v>Scarcity and mutual humanity.</x:v>
      </x:c>
    </x:row>
    <x:row r="200" ht="15" hidden="0" customHeight="1">
      <x:c r="A200" s="17" t="str">
        <x:v>PS-S09</x:v>
      </x:c>
      <x:c r="B200" s="17" t="str">
        <x:v>PS-GRM-YOUNGERHOME</x:v>
      </x:c>
      <x:c r="C200" s="17" t="str">
        <x:v>Younger at home and early abroad</x:v>
      </x:c>
      <x:c r="D200" s="17" t="str">
        <x:v>Canonical younger identity before severe hunger.</x:v>
      </x:c>
    </x:row>
    <x:row r="201" ht="15" hidden="0" customHeight="1">
      <x:c r="A201" s="18" t="str">
        <x:v>PS-S09</x:v>
      </x:c>
      <x:c r="B201" s="18" t="str">
        <x:v>PS-LOC-BANQUET</x:v>
      </x:c>
      <x:c r="C201" s="18" t="str">
        <x:v>Tavern and banquet court</x:v>
      </x:c>
      <x:c r="D201" s="18" t="str">
        <x:v>Social spending and rejection.</x:v>
      </x:c>
    </x:row>
    <x:row r="202" ht="15" hidden="0" customHeight="1">
      <x:c r="A202" s="17" t="str">
        <x:v>PS-S09</x:v>
      </x:c>
      <x:c r="B202" s="17" t="str">
        <x:v>PS-LOC-MARKET</x:v>
      </x:c>
      <x:c r="C202" s="17" t="str">
        <x:v>Foreign market street</x:v>
      </x:c>
      <x:c r="D202" s="17" t="str">
        <x:v>Arrival purchases, russet sale and hunger.</x:v>
      </x:c>
    </x:row>
    <x:row r="203" ht="15" hidden="0" customHeight="1">
      <x:c r="A203" s="18" t="str">
        <x:v>PS-S09</x:v>
      </x:c>
      <x:c r="B203" s="18" t="str">
        <x:v>PS-LOC-TOWN</x:v>
      </x:c>
      <x:c r="C203" s="18" t="str">
        <x:v>Unnamed foreign town</x:v>
      </x:c>
      <x:c r="D203" s="18" t="str">
        <x:v>Foreign destination and urban setting.</x:v>
      </x:c>
    </x:row>
    <x:row r="204" ht="15" hidden="0" customHeight="1">
      <x:c r="A204" s="17" t="str">
        <x:v>PS-S09</x:v>
      </x:c>
      <x:c r="B204" s="17" t="str">
        <x:v>PS-PRP-CLOTHDISPLAY</x:v>
      </x:c>
      <x:c r="C204" s="17" t="str">
        <x:v>Cloth seller’s bolts and display</x:v>
      </x:c>
      <x:c r="D204" s="17" t="str">
        <x:v>Damon steadies cloth and younger later sells gift.</x:v>
      </x:c>
    </x:row>
    <x:row r="205" ht="15" hidden="0" customHeight="1">
      <x:c r="A205" s="18" t="str">
        <x:v>PS-S09</x:v>
      </x:c>
      <x:c r="B205" s="18" t="str">
        <x:v>PS-PRP-COINS</x:v>
      </x:c>
      <x:c r="C205" s="18" t="str">
        <x:v>Silver and copper money</x:v>
      </x:c>
      <x:c r="D205" s="18" t="str">
        <x:v>Inheritance, excess payments, debt and scarcity.</x:v>
      </x:c>
    </x:row>
    <x:row r="206" ht="15" hidden="0" customHeight="1">
      <x:c r="A206" s="17" t="str">
        <x:v>PS-S09</x:v>
      </x:c>
      <x:c r="B206" s="17" t="str">
        <x:v>PS-PRP-MARKETSCALE</x:v>
      </x:c>
      <x:c r="C206" s="17" t="str">
        <x:v>Bread seller’s scale and flour measure</x:v>
      </x:c>
      <x:c r="D206" s="17" t="str">
        <x:v>Market generosity and scarcity inserts.</x:v>
      </x:c>
    </x:row>
    <x:row r="207" ht="15" hidden="0" customHeight="1">
      <x:c r="A207" s="18" t="str">
        <x:v>PS-S09</x:v>
      </x:c>
      <x:c r="B207" s="18" t="str">
        <x:v>PS-PRP-MONEYPOUCH</x:v>
      </x:c>
      <x:c r="C207" s="18" t="str">
        <x:v>Younger’s money pouch</x:v>
      </x:c>
      <x:c r="D207" s="18" t="str">
        <x:v>Money and status object.</x:v>
      </x:c>
    </x:row>
    <x:row r="208" ht="15" hidden="0" customHeight="1">
      <x:c r="A208" s="17" t="str">
        <x:v>PS-S09</x:v>
      </x:c>
      <x:c r="B208" s="17" t="str">
        <x:v>PS-PRP-TAVERNWARE</x:v>
      </x:c>
      <x:c r="C208" s="17" t="str">
        <x:v>Foreign banquet dishes, cups and jug</x:v>
      </x:c>
      <x:c r="D208" s="17" t="str">
        <x:v>Food service, cup spill and debt denial.</x:v>
      </x:c>
    </x:row>
    <x:row r="209" ht="15" hidden="0" customHeight="1">
      <x:c r="A209" s="18" t="str">
        <x:v>PS-S09</x:v>
      </x:c>
      <x:c r="B209" s="18" t="str">
        <x:v>PS-PRP-WATERSKIN</x:v>
      </x:c>
      <x:c r="C209" s="18" t="str">
        <x:v>Elder’s repaired waterskin</x:v>
      </x:c>
      <x:c r="D209" s="18" t="str">
        <x:v>Travel support and brotherly care object.</x:v>
      </x:c>
    </x:row>
    <x:row r="210" ht="15" hidden="0" customHeight="1">
      <x:c r="A210" s="17" t="str">
        <x:v>PS-S09</x:v>
      </x:c>
      <x:c r="B210" s="17" t="str">
        <x:v>PS-SET-TOWNSTOCK</x:v>
      </x:c>
      <x:c r="C210" s="17" t="str">
        <x:v>Market sacks, awnings and stalls</x:v>
      </x:c>
      <x:c r="D210" s="17" t="str">
        <x:v>Market continuity and famine visible without exposition.</x:v>
      </x:c>
    </x:row>
    <x:row r="211" ht="15" hidden="0" customHeight="1">
      <x:c r="A211" s="18" t="str">
        <x:v>PS-S09</x:v>
      </x:c>
      <x:c r="B211" s="18" t="str">
        <x:v>PS-WAR-BLUE</x:v>
      </x:c>
      <x:c r="C211" s="18" t="str">
        <x:v>Purchased blue-bordered mantle</x:v>
      </x:c>
      <x:c r="D211" s="18" t="str">
        <x:v>Purchased welcome and later remaining saleable garment.</x:v>
      </x:c>
    </x:row>
    <x:row r="212" ht="15" hidden="0" customHeight="1">
      <x:c r="A212" s="17" t="str">
        <x:v>PS-S09</x:v>
      </x:c>
      <x:c r="B212" s="17" t="str">
        <x:v>PS-WAR-FOREIGNKIT</x:v>
      </x:c>
      <x:c r="C212" s="17" t="str">
        <x:v>Foreign town and farm clothing</x:v>
      </x:c>
      <x:c r="D212" s="17" t="str">
        <x:v>Foreign supporting cast costume continuity.</x:v>
      </x:c>
    </x:row>
    <x:row r="213" ht="15" hidden="0" customHeight="1">
      <x:c r="A213" s="18" t="str">
        <x:v>PS-S09</x:v>
      </x:c>
      <x:c r="B213" s="18" t="str">
        <x:v>PS-WAR-RUSSET</x:v>
      </x:c>
      <x:c r="C213" s="18" t="str">
        <x:v>Younger’s russet gift mantle</x:v>
      </x:c>
      <x:c r="D213" s="18" t="str">
        <x:v>Gift, threshold talk, travel, display and sale.</x:v>
      </x:c>
    </x:row>
    <x:row r="214" ht="15" hidden="0" customHeight="1">
      <x:c r="A214" s="17" t="str">
        <x:v>PS-S09</x:v>
      </x:c>
      <x:c r="B214" s="17" t="str">
        <x:v>PS-WAR-YOUNGERSANDAL</x:v>
      </x:c>
      <x:c r="C214" s="17" t="str">
        <x:v>Younger’s original sandals</x:v>
      </x:c>
      <x:c r="D214" s="17" t="str">
        <x:v>Original footwear and return-journey failure.</x:v>
      </x:c>
    </x:row>
    <x:row r="215" ht="15" hidden="0" customHeight="1">
      <x:c r="A215" s="18" t="str">
        <x:v>PS-S09</x:v>
      </x:c>
      <x:c r="B215" s="18" t="str">
        <x:v>PS-WAR-YOUNGERTUNIC</x:v>
      </x:c>
      <x:c r="C215" s="18" t="str">
        <x:v>Younger’s plain tunic</x:v>
      </x:c>
      <x:c r="D215" s="18" t="str">
        <x:v>Core garment through entire younger-son story.</x:v>
      </x:c>
    </x:row>
    <x:row r="216" ht="15" hidden="0" customHeight="1">
      <x:c r="A216" s="17" t="str">
        <x:v>PS-S10</x:v>
      </x:c>
      <x:c r="B216" s="17" t="str">
        <x:v>PS-CHR-DAMON</x:v>
      </x:c>
      <x:c r="C216" s="17" t="str">
        <x:v>Damon</x:v>
      </x:c>
      <x:c r="D216" s="17" t="str">
        <x:v>Offers friendship, dances, later shares scarce bread with a child.</x:v>
      </x:c>
    </x:row>
    <x:row r="217" ht="15" hidden="0" customHeight="1">
      <x:c r="A217" s="18" t="str">
        <x:v>PS-S10</x:v>
      </x:c>
      <x:c r="B217" s="18" t="str">
        <x:v>PS-CHR-HOST</x:v>
      </x:c>
      <x:c r="C217" s="18" t="str">
        <x:v>Host</x:v>
      </x:c>
      <x:c r="D217" s="18" t="str">
        <x:v>Collects payments and controls access to food/lodging.</x:v>
      </x:c>
    </x:row>
    <x:row r="218" ht="15" hidden="0" customHeight="1">
      <x:c r="A218" s="17" t="str">
        <x:v>PS-S10</x:v>
      </x:c>
      <x:c r="B218" s="17" t="str">
        <x:v>PS-CHR-YOUNGER</x:v>
      </x:c>
      <x:c r="C218" s="17" t="str">
        <x:v>Younger son</x:v>
      </x:c>
      <x:c r="D218" s="17" t="str">
        <x:v>Younger son present in action.</x:v>
      </x:c>
    </x:row>
    <x:row r="219" ht="15" hidden="0" customHeight="1">
      <x:c r="A219" s="18" t="str">
        <x:v>PS-S10</x:v>
      </x:c>
      <x:c r="B219" s="18" t="str">
        <x:v>PS-EXT-FOREIGNMUS</x:v>
      </x:c>
      <x:c r="C219" s="18" t="str">
        <x:v>Foreign pipe player and drummer</x:v>
      </x:c>
      <x:c r="D219" s="18" t="str">
        <x:v>Play for paid banquet gathering.</x:v>
      </x:c>
    </x:row>
    <x:row r="220" ht="15" hidden="0" customHeight="1">
      <x:c r="A220" s="17" t="str">
        <x:v>PS-S10</x:v>
      </x:c>
      <x:c r="B220" s="17" t="str">
        <x:v>PS-EXT-GUESTS</x:v>
      </x:c>
      <x:c r="C220" s="17" t="str">
        <x:v>Foreign companions and serving woman</x:v>
      </x:c>
      <x:c r="D220" s="17" t="str">
        <x:v>Bench welcome, uneven laughter, dance, food service and thinning gatherings.</x:v>
      </x:c>
    </x:row>
    <x:row r="221" ht="15" hidden="0" customHeight="1">
      <x:c r="A221" s="18" t="str">
        <x:v>PS-S10</x:v>
      </x:c>
      <x:c r="B221" s="18" t="str">
        <x:v>PS-FOD-FOREIGNBANQUET</x:v>
      </x:c>
      <x:c r="C221" s="18" t="str">
        <x:v>Foreign meals and wine</x:v>
      </x:c>
      <x:c r="D221" s="18" t="str">
        <x:v>Spending to remain welcome.</x:v>
      </x:c>
    </x:row>
    <x:row r="222" ht="15" hidden="0" customHeight="1">
      <x:c r="A222" s="17" t="str">
        <x:v>PS-S10</x:v>
      </x:c>
      <x:c r="B222" s="17" t="str">
        <x:v>PS-GRM-YOUNGERHOME</x:v>
      </x:c>
      <x:c r="C222" s="17" t="str">
        <x:v>Younger at home and early abroad</x:v>
      </x:c>
      <x:c r="D222" s="17" t="str">
        <x:v>Canonical younger identity before severe hunger.</x:v>
      </x:c>
    </x:row>
    <x:row r="223" ht="15" hidden="0" customHeight="1">
      <x:c r="A223" s="18" t="str">
        <x:v>PS-S10</x:v>
      </x:c>
      <x:c r="B223" s="18" t="str">
        <x:v>PS-LOC-BANQUET</x:v>
      </x:c>
      <x:c r="C223" s="18" t="str">
        <x:v>Tavern and banquet court</x:v>
      </x:c>
      <x:c r="D223" s="18" t="str">
        <x:v>Social spending and rejection.</x:v>
      </x:c>
    </x:row>
    <x:row r="224" ht="15" hidden="0" customHeight="1">
      <x:c r="A224" s="17" t="str">
        <x:v>PS-S10</x:v>
      </x:c>
      <x:c r="B224" s="17" t="str">
        <x:v>PS-LOC-RENTEDROOM</x:v>
      </x:c>
      <x:c r="C224" s="17" t="str">
        <x:v>Younger’s rented room</x:v>
      </x:c>
      <x:c r="D224" s="17" t="str">
        <x:v>Purchased life and sale of father’s gift.</x:v>
      </x:c>
    </x:row>
    <x:row r="225" ht="15" hidden="0" customHeight="1">
      <x:c r="A225" s="18" t="str">
        <x:v>PS-S10</x:v>
      </x:c>
      <x:c r="B225" s="18" t="str">
        <x:v>PS-PRP-BEDDING</x:v>
      </x:c>
      <x:c r="C225" s="18" t="str">
        <x:v>Younger’s bedding and clothing bundle</x:v>
      </x:c>
      <x:c r="D225" s="18" t="str">
        <x:v>Travel belongings and shelter.</x:v>
      </x:c>
    </x:row>
    <x:row r="226" ht="15" hidden="0" customHeight="1">
      <x:c r="A226" s="17" t="str">
        <x:v>PS-S10</x:v>
      </x:c>
      <x:c r="B226" s="17" t="str">
        <x:v>PS-PRP-COINS</x:v>
      </x:c>
      <x:c r="C226" s="17" t="str">
        <x:v>Silver and copper money</x:v>
      </x:c>
      <x:c r="D226" s="17" t="str">
        <x:v>Inheritance, excess payments, debt and scarcity.</x:v>
      </x:c>
    </x:row>
    <x:row r="227" ht="15" hidden="0" customHeight="1">
      <x:c r="A227" s="18" t="str">
        <x:v>PS-S10</x:v>
      </x:c>
      <x:c r="B227" s="18" t="str">
        <x:v>PS-PRP-MONEYPOUCH</x:v>
      </x:c>
      <x:c r="C227" s="18" t="str">
        <x:v>Younger’s money pouch</x:v>
      </x:c>
      <x:c r="D227" s="18" t="str">
        <x:v>Money and status object.</x:v>
      </x:c>
    </x:row>
    <x:row r="228" ht="15" hidden="0" customHeight="1">
      <x:c r="A228" s="17" t="str">
        <x:v>PS-S10</x:v>
      </x:c>
      <x:c r="B228" s="17" t="str">
        <x:v>PS-PRP-PIPEDRUMFOREIGN</x:v>
      </x:c>
      <x:c r="C228" s="17" t="str">
        <x:v>Foreign pipe and hand drum</x:v>
      </x:c>
      <x:c r="D228" s="17" t="str">
        <x:v>Banquet music and dance.</x:v>
      </x:c>
    </x:row>
    <x:row r="229" ht="15" hidden="0" customHeight="1">
      <x:c r="A229" s="18" t="str">
        <x:v>PS-S10</x:v>
      </x:c>
      <x:c r="B229" s="18" t="str">
        <x:v>PS-PRP-TAVERNWARE</x:v>
      </x:c>
      <x:c r="C229" s="18" t="str">
        <x:v>Foreign banquet dishes, cups and jug</x:v>
      </x:c>
      <x:c r="D229" s="18" t="str">
        <x:v>Food service, cup spill and debt denial.</x:v>
      </x:c>
    </x:row>
    <x:row r="230" ht="15" hidden="0" customHeight="1">
      <x:c r="A230" s="17" t="str">
        <x:v>PS-S10</x:v>
      </x:c>
      <x:c r="B230" s="17" t="str">
        <x:v>PS-PRP-WATERSKIN</x:v>
      </x:c>
      <x:c r="C230" s="17" t="str">
        <x:v>Elder’s repaired waterskin</x:v>
      </x:c>
      <x:c r="D230" s="17" t="str">
        <x:v>Travel support and brotherly care object.</x:v>
      </x:c>
    </x:row>
    <x:row r="231" ht="15" hidden="0" customHeight="1">
      <x:c r="A231" s="18" t="str">
        <x:v>PS-S10</x:v>
      </x:c>
      <x:c r="B231" s="18" t="str">
        <x:v>PS-SET-ROOMPEG</x:v>
      </x:c>
      <x:c r="C231" s="18" t="str">
        <x:v>Room garment peg</x:v>
      </x:c>
      <x:c r="D231" s="18" t="str">
        <x:v>Sale of father’s gift.</x:v>
      </x:c>
    </x:row>
    <x:row r="232" ht="15" hidden="0" customHeight="1">
      <x:c r="A232" s="17" t="str">
        <x:v>PS-S10</x:v>
      </x:c>
      <x:c r="B232" s="17" t="str">
        <x:v>PS-WAR-BLUE</x:v>
      </x:c>
      <x:c r="C232" s="17" t="str">
        <x:v>Purchased blue-bordered mantle</x:v>
      </x:c>
      <x:c r="D232" s="17" t="str">
        <x:v>Purchased welcome and later remaining saleable garment.</x:v>
      </x:c>
    </x:row>
    <x:row r="233" ht="15" hidden="0" customHeight="1">
      <x:c r="A233" s="18" t="str">
        <x:v>PS-S10</x:v>
      </x:c>
      <x:c r="B233" s="18" t="str">
        <x:v>PS-WAR-FOREIGNKIT</x:v>
      </x:c>
      <x:c r="C233" s="18" t="str">
        <x:v>Foreign town and farm clothing</x:v>
      </x:c>
      <x:c r="D233" s="18" t="str">
        <x:v>Foreign supporting cast costume continuity.</x:v>
      </x:c>
    </x:row>
    <x:row r="234" ht="15" hidden="0" customHeight="1">
      <x:c r="A234" s="17" t="str">
        <x:v>PS-S10</x:v>
      </x:c>
      <x:c r="B234" s="17" t="str">
        <x:v>PS-WAR-RUSSET</x:v>
      </x:c>
      <x:c r="C234" s="17" t="str">
        <x:v>Younger’s russet gift mantle</x:v>
      </x:c>
      <x:c r="D234" s="17" t="str">
        <x:v>Gift, threshold talk, travel, display and sale.</x:v>
      </x:c>
    </x:row>
    <x:row r="235" ht="15" hidden="0" customHeight="1">
      <x:c r="A235" s="18" t="str">
        <x:v>PS-S10</x:v>
      </x:c>
      <x:c r="B235" s="18" t="str">
        <x:v>PS-WAR-YOUNGERSANDAL</x:v>
      </x:c>
      <x:c r="C235" s="18" t="str">
        <x:v>Younger’s original sandals</x:v>
      </x:c>
      <x:c r="D235" s="18" t="str">
        <x:v>Original footwear and return-journey failure.</x:v>
      </x:c>
    </x:row>
    <x:row r="236" ht="15" hidden="0" customHeight="1">
      <x:c r="A236" s="17" t="str">
        <x:v>PS-S10</x:v>
      </x:c>
      <x:c r="B236" s="17" t="str">
        <x:v>PS-WAR-YOUNGERTUNIC</x:v>
      </x:c>
      <x:c r="C236" s="17" t="str">
        <x:v>Younger’s plain tunic</x:v>
      </x:c>
      <x:c r="D236" s="17" t="str">
        <x:v>Core garment through entire younger-son story.</x:v>
      </x:c>
    </x:row>
    <x:row r="237" ht="15" hidden="0" customHeight="1">
      <x:c r="A237" s="18" t="str">
        <x:v>PS-S11</x:v>
      </x:c>
      <x:c r="B237" s="18" t="str">
        <x:v>PS-CHR-ELDER</x:v>
      </x:c>
      <x:c r="C237" s="18" t="str">
        <x:v>Elder son</x:v>
      </x:c>
      <x:c r="D237" s="18" t="str">
        <x:v>Elder present in family and field action.</x:v>
      </x:c>
    </x:row>
    <x:row r="238" ht="15" hidden="0" customHeight="1">
      <x:c r="A238" s="17" t="str">
        <x:v>PS-S11</x:v>
      </x:c>
      <x:c r="B238" s="17" t="str">
        <x:v>PS-CHR-FATHER</x:v>
      </x:c>
      <x:c r="C238" s="17" t="str">
        <x:v>Father</x:v>
      </x:c>
      <x:c r="D238" s="17" t="str">
        <x:v>Shares meal and olive mantle with elder on wall.</x:v>
      </x:c>
    </x:row>
    <x:row r="239" ht="15" hidden="0" customHeight="1">
      <x:c r="A239" s="18" t="str">
        <x:v>PS-S11</x:v>
      </x:c>
      <x:c r="B239" s="18" t="str">
        <x:v>PS-CHR-HANNAH</x:v>
      </x:c>
      <x:c r="C239" s="18" t="str">
        <x:v>Hannah, kitchen manager</x:v>
      </x:c>
      <x:c r="D239" s="18" t="str">
        <x:v>Household food and care work.</x:v>
      </x:c>
    </x:row>
    <x:row r="240" ht="15" hidden="0" customHeight="1">
      <x:c r="A240" s="17" t="str">
        <x:v>PS-S11</x:v>
      </x:c>
      <x:c r="B240" s="17" t="str">
        <x:v>PS-CHR-LEVI</x:v>
      </x:c>
      <x:c r="C240" s="17" t="str">
        <x:v>Levi, hired field hand</x:v>
      </x:c>
      <x:c r="D240" s="17" t="str">
        <x:v>Hired hand present in household/field work.</x:v>
      </x:c>
    </x:row>
    <x:row r="241" ht="15" hidden="0" customHeight="1">
      <x:c r="A241" s="18" t="str">
        <x:v>PS-S11</x:v>
      </x:c>
      <x:c r="B241" s="18" t="str">
        <x:v>PS-EXT-HOMEWORKERS</x:v>
      </x:c>
      <x:c r="C241" s="18" t="str">
        <x:v>Household workers and second servant</x:v>
      </x:c>
      <x:c r="D241" s="18" t="str">
        <x:v>Work, eat and prepare household celebration.</x:v>
      </x:c>
    </x:row>
    <x:row r="242" ht="15" hidden="0" customHeight="1">
      <x:c r="A242" s="17" t="str">
        <x:v>PS-S11</x:v>
      </x:c>
      <x:c r="B242" s="17" t="str">
        <x:v>PS-EXT-PASSTRAVELER</x:v>
      </x:c>
      <x:c r="C242" s="17" t="str">
        <x:v>Traveler passing home entrance</x:v>
      </x:c>
      <x:c r="D242" s="17" t="str">
        <x:v>Father hopes briefly as traveler passes entrance; elder notices.</x:v>
      </x:c>
    </x:row>
    <x:row r="243" ht="15" hidden="0" customHeight="1">
      <x:c r="A243" s="18" t="str">
        <x:v>PS-S11</x:v>
      </x:c>
      <x:c r="B243" s="18" t="str">
        <x:v>PS-FOD-HOMEBREAD</x:v>
      </x:c>
      <x:c r="C243" s="18" t="str">
        <x:v>Home bread</x:v>
      </x:c>
      <x:c r="D243" s="18" t="str">
        <x:v>Bread shared, withheld from oneself, remembered and served.</x:v>
      </x:c>
    </x:row>
    <x:row r="244" ht="15" hidden="0" customHeight="1">
      <x:c r="A244" s="17" t="str">
        <x:v>PS-S11</x:v>
      </x:c>
      <x:c r="B244" s="17" t="str">
        <x:v>PS-FOD-HOMEMEALS</x:v>
      </x:c>
      <x:c r="C244" s="17" t="str">
        <x:v>Lentils, olives and household meals</x:v>
      </x:c>
      <x:c r="D244" s="17" t="str">
        <x:v>Ordinary nourishment and feast accompaniments.</x:v>
      </x:c>
    </x:row>
    <x:row r="245" ht="15" hidden="0" customHeight="1">
      <x:c r="A245" s="18" t="str">
        <x:v>PS-S11</x:v>
      </x:c>
      <x:c r="B245" s="18" t="str">
        <x:v>PS-GRM-ELDERPALM</x:v>
      </x:c>
      <x:c r="C245" s="18" t="str">
        <x:v>Elder’s left palm wound and scar</x:v>
      </x:c>
      <x:c r="D245" s="18" t="str">
        <x:v>Hand care, concealed overwork and thumb pressing scar.</x:v>
      </x:c>
    </x:row>
    <x:row r="246" ht="15" hidden="0" customHeight="1">
      <x:c r="A246" s="17" t="str">
        <x:v>PS-S11</x:v>
      </x:c>
      <x:c r="B246" s="17" t="str">
        <x:v>PS-LOC-COURTYARD</x:v>
      </x:c>
      <x:c r="C246" s="17" t="str">
        <x:v>Working family courtyard</x:v>
      </x:c>
      <x:c r="D246" s="17" t="str">
        <x:v>Household arrival, meals, work, care and restoration.</x:v>
      </x:c>
    </x:row>
    <x:row r="247" ht="15" hidden="0" customHeight="1">
      <x:c r="A247" s="18" t="str">
        <x:v>PS-S11</x:v>
      </x:c>
      <x:c r="B247" s="18" t="str">
        <x:v>PS-LOC-ENTRANCE</x:v>
      </x:c>
      <x:c r="C247" s="18" t="str">
        <x:v>Courtyard threshold and road entrance</x:v>
      </x:c>
      <x:c r="D247" s="18" t="str">
        <x:v>Departure, brother conversation, father’s recognition and final refusal/invitation.</x:v>
      </x:c>
    </x:row>
    <x:row r="248" ht="15" hidden="0" customHeight="1">
      <x:c r="A248" s="17" t="str">
        <x:v>PS-S11</x:v>
      </x:c>
      <x:c r="B248" s="17" t="str">
        <x:v>PS-LOC-HOMESTEAD</x:v>
      </x:c>
      <x:c r="C248" s="17" t="str">
        <x:v>Family farm geography</x:v>
      </x:c>
      <x:c r="D248" s="17" t="str">
        <x:v>Master relationship of road, courtyard entrance, fields and wall.</x:v>
      </x:c>
    </x:row>
    <x:row r="249" ht="15" hidden="0" customHeight="1">
      <x:c r="A249" s="18" t="str">
        <x:v>PS-S11</x:v>
      </x:c>
      <x:c r="B249" s="18" t="str">
        <x:v>PS-LOC-TERRACE</x:v>
      </x:c>
      <x:c r="C249" s="18" t="str">
        <x:v>Upper terrace and retaining wall</x:v>
      </x:c>
      <x:c r="D249" s="18" t="str">
        <x:v>Field work and elder/father meals.</x:v>
      </x:c>
    </x:row>
    <x:row r="250" ht="15" hidden="0" customHeight="1">
      <x:c r="A250" s="17" t="str">
        <x:v>PS-S11</x:v>
      </x:c>
      <x:c r="B250" s="17" t="str">
        <x:v>PS-PRP-ELDERBOWL</x:v>
      </x:c>
      <x:c r="C250" s="17" t="str">
        <x:v>Elder’s food bowl</x:v>
      </x:c>
      <x:c r="D250" s="17" t="str">
        <x:v>Food and unpaid emotional need motif.</x:v>
      </x:c>
    </x:row>
    <x:row r="251" ht="15" hidden="0" customHeight="1">
      <x:c r="A251" s="18" t="str">
        <x:v>PS-S11</x:v>
      </x:c>
      <x:c r="B251" s="18" t="str">
        <x:v>PS-PRP-FIELDSTONES</x:v>
      </x:c>
      <x:c r="C251" s="18" t="str">
        <x:v>Retaining-wall loose fieldstones</x:v>
      </x:c>
      <x:c r="D251" s="18" t="str">
        <x:v>Wall labor and progress.</x:v>
      </x:c>
    </x:row>
    <x:row r="252" ht="15" hidden="0" customHeight="1">
      <x:c r="A252" s="17" t="str">
        <x:v>PS-S11</x:v>
      </x:c>
      <x:c r="B252" s="17" t="str">
        <x:v>PS-PRP-PALMCLOTH</x:v>
      </x:c>
      <x:c r="C252" s="17" t="str">
        <x:v>Elder’s hand dressing cloth</x:v>
      </x:c>
      <x:c r="D252" s="17" t="str">
        <x:v>Father’s hand care continuity.</x:v>
      </x:c>
    </x:row>
    <x:row r="253" ht="15" hidden="0" customHeight="1">
      <x:c r="A253" s="18" t="str">
        <x:v>PS-S11</x:v>
      </x:c>
      <x:c r="B253" s="18" t="str">
        <x:v>PS-PRP-SERVINGBOWL</x:v>
      </x:c>
      <x:c r="C253" s="18" t="str">
        <x:v>Fuller bowl for hired workers</x:v>
      </x:c>
      <x:c r="D253" s="18" t="str">
        <x:v>Everyone in father’s household has enough to eat.</x:v>
      </x:c>
    </x:row>
    <x:row r="254" ht="15" hidden="0" customHeight="1">
      <x:c r="A254" s="17" t="str">
        <x:v>PS-S11</x:v>
      </x:c>
      <x:c r="B254" s="17" t="str">
        <x:v>PS-PRP-WASHBOWL</x:v>
      </x:c>
      <x:c r="C254" s="17" t="str">
        <x:v>Home washing bowl and water</x:v>
      </x:c>
      <x:c r="D254" s="17" t="str">
        <x:v>Care actions and everyday washing.</x:v>
      </x:c>
    </x:row>
    <x:row r="255" ht="15" hidden="0" customHeight="1">
      <x:c r="A255" s="18" t="str">
        <x:v>PS-S11</x:v>
      </x:c>
      <x:c r="B255" s="18" t="str">
        <x:v>PS-SET-HOMEAWNING</x:v>
      </x:c>
      <x:c r="C255" s="18" t="str">
        <x:v>Home awning and textile coverings</x:v>
      </x:c>
      <x:c r="D255" s="18" t="str">
        <x:v>Working-yard continuity.</x:v>
      </x:c>
    </x:row>
    <x:row r="256" ht="15" hidden="0" customHeight="1">
      <x:c r="A256" s="17" t="str">
        <x:v>PS-S11</x:v>
      </x:c>
      <x:c r="B256" s="17" t="str">
        <x:v>PS-SET-HOMETABLE</x:v>
      </x:c>
      <x:c r="C256" s="17" t="str">
        <x:v>Home low table and seating</x:v>
      </x:c>
      <x:c r="D256" s="17" t="str">
        <x:v>Meals, request and feast.</x:v>
      </x:c>
    </x:row>
    <x:row r="257" ht="15" hidden="0" customHeight="1">
      <x:c r="A257" s="18" t="str">
        <x:v>PS-S11</x:v>
      </x:c>
      <x:c r="B257" s="18" t="str">
        <x:v>PS-SET-HOMEVESSELS</x:v>
      </x:c>
      <x:c r="C257" s="18" t="str">
        <x:v>Home jars, cups and storage vessels</x:v>
      </x:c>
      <x:c r="D257" s="18" t="str">
        <x:v>Prosperous working household background and handling.</x:v>
      </x:c>
    </x:row>
    <x:row r="258" ht="15" hidden="0" customHeight="1">
      <x:c r="A258" s="17" t="str">
        <x:v>PS-S11</x:v>
      </x:c>
      <x:c r="B258" s="17" t="str">
        <x:v>PS-WAR-ELDER</x:v>
      </x:c>
      <x:c r="C258" s="17" t="str">
        <x:v>Elder’s work tunic and sandals</x:v>
      </x:c>
      <x:c r="D258" s="17" t="str">
        <x:v>Elder’s ordinary clothing through unresolved ending.</x:v>
      </x:c>
    </x:row>
    <x:row r="259" ht="15" hidden="0" customHeight="1">
      <x:c r="A259" s="18" t="str">
        <x:v>PS-S11</x:v>
      </x:c>
      <x:c r="B259" s="18" t="str">
        <x:v>PS-WAR-FATHER</x:v>
      </x:c>
      <x:c r="C259" s="18" t="str">
        <x:v>Father’s everyday clothes and mantle</x:v>
      </x:c>
      <x:c r="D259" s="18" t="str">
        <x:v>Father’s home scenes and continuous reunion.</x:v>
      </x:c>
    </x:row>
    <x:row r="260" ht="15" hidden="0" customHeight="1">
      <x:c r="A260" s="17" t="str">
        <x:v>PS-S11</x:v>
      </x:c>
      <x:c r="B260" s="17" t="str">
        <x:v>PS-WAR-HOMEKIT</x:v>
      </x:c>
      <x:c r="C260" s="17" t="str">
        <x:v>Home workers and neighbors’ clothing</x:v>
      </x:c>
      <x:c r="D260" s="17" t="str">
        <x:v>Home supporting cast and feast costume consistency.</x:v>
      </x:c>
    </x:row>
    <x:row r="261" ht="15" hidden="0" customHeight="1">
      <x:c r="A261" s="18" t="str">
        <x:v>PS-S11</x:v>
      </x:c>
      <x:c r="B261" s="18" t="str">
        <x:v>PS-WAR-OLIVE</x:v>
      </x:c>
      <x:c r="C261" s="18" t="str">
        <x:v>Elder’s olive gift mantle</x:v>
      </x:c>
      <x:c r="D261" s="18" t="str">
        <x:v>Physical continuity of father’s attentive love for elder.</x:v>
      </x:c>
    </x:row>
    <x:row r="262" ht="15" hidden="0" customHeight="1">
      <x:c r="A262" s="17" t="str">
        <x:v>PS-S12</x:v>
      </x:c>
      <x:c r="B262" s="17" t="str">
        <x:v>PS-CHR-HOST</x:v>
      </x:c>
      <x:c r="C262" s="17" t="str">
        <x:v>Host</x:v>
      </x:c>
      <x:c r="D262" s="17" t="str">
        <x:v>Collects payments and controls access to food/lodging.</x:v>
      </x:c>
    </x:row>
    <x:row r="263" ht="15" hidden="0" customHeight="1">
      <x:c r="A263" s="18" t="str">
        <x:v>PS-S12</x:v>
      </x:c>
      <x:c r="B263" s="18" t="str">
        <x:v>PS-CHR-YOUNGER</x:v>
      </x:c>
      <x:c r="C263" s="18" t="str">
        <x:v>Younger son</x:v>
      </x:c>
      <x:c r="D263" s="18" t="str">
        <x:v>Younger son present in action.</x:v>
      </x:c>
    </x:row>
    <x:row r="264" ht="15" hidden="0" customHeight="1">
      <x:c r="A264" s="17" t="str">
        <x:v>PS-S12</x:v>
      </x:c>
      <x:c r="B264" s="17" t="str">
        <x:v>PS-EXT-GUESTS</x:v>
      </x:c>
      <x:c r="C264" s="17" t="str">
        <x:v>Foreign companions and serving woman</x:v>
      </x:c>
      <x:c r="D264" s="17" t="str">
        <x:v>Bench welcome, uneven laughter, dance, food service and thinning gatherings.</x:v>
      </x:c>
    </x:row>
    <x:row r="265" ht="15" hidden="0" customHeight="1">
      <x:c r="A265" s="18" t="str">
        <x:v>PS-S12</x:v>
      </x:c>
      <x:c r="B265" s="18" t="str">
        <x:v>PS-EXT-MARKET</x:v>
      </x:c>
      <x:c r="C265" s="18" t="str">
        <x:v>Foreign market workers and buyers</x:v>
      </x:c>
      <x:c r="D265" s="18" t="str">
        <x:v>Markets, garment sale, jar-carrying work and grain-store queue.</x:v>
      </x:c>
    </x:row>
    <x:row r="266" ht="15" hidden="0" customHeight="1">
      <x:c r="A266" s="17" t="str">
        <x:v>PS-S12</x:v>
      </x:c>
      <x:c r="B266" s="17" t="str">
        <x:v>PS-FOD-FOREIGNBANQUET</x:v>
      </x:c>
      <x:c r="C266" s="17" t="str">
        <x:v>Foreign meals and wine</x:v>
      </x:c>
      <x:c r="D266" s="17" t="str">
        <x:v>Spending to remain welcome.</x:v>
      </x:c>
    </x:row>
    <x:row r="267" ht="15" hidden="0" customHeight="1">
      <x:c r="A267" s="18" t="str">
        <x:v>PS-S12</x:v>
      </x:c>
      <x:c r="B267" s="18" t="str">
        <x:v>PS-GRM-YOUNGERHOME</x:v>
      </x:c>
      <x:c r="C267" s="18" t="str">
        <x:v>Younger at home and early abroad</x:v>
      </x:c>
      <x:c r="D267" s="18" t="str">
        <x:v>Canonical younger identity before severe hunger.</x:v>
      </x:c>
    </x:row>
    <x:row r="268" ht="15" hidden="0" customHeight="1">
      <x:c r="A268" s="17" t="str">
        <x:v>PS-S12</x:v>
      </x:c>
      <x:c r="B268" s="17" t="str">
        <x:v>PS-LOC-BANQUET</x:v>
      </x:c>
      <x:c r="C268" s="17" t="str">
        <x:v>Tavern and banquet court</x:v>
      </x:c>
      <x:c r="D268" s="17" t="str">
        <x:v>Social spending and rejection.</x:v>
      </x:c>
    </x:row>
    <x:row r="269" ht="15" hidden="0" customHeight="1">
      <x:c r="A269" s="18" t="str">
        <x:v>PS-S12</x:v>
      </x:c>
      <x:c r="B269" s="18" t="str">
        <x:v>PS-LOC-MARKET</x:v>
      </x:c>
      <x:c r="C269" s="18" t="str">
        <x:v>Foreign market street</x:v>
      </x:c>
      <x:c r="D269" s="18" t="str">
        <x:v>Arrival purchases, russet sale and hunger.</x:v>
      </x:c>
    </x:row>
    <x:row r="270" ht="15" hidden="0" customHeight="1">
      <x:c r="A270" s="17" t="str">
        <x:v>PS-S12</x:v>
      </x:c>
      <x:c r="B270" s="17" t="str">
        <x:v>PS-LOC-RENTEDROOM</x:v>
      </x:c>
      <x:c r="C270" s="17" t="str">
        <x:v>Younger’s rented room</x:v>
      </x:c>
      <x:c r="D270" s="17" t="str">
        <x:v>Purchased life and sale of father’s gift.</x:v>
      </x:c>
    </x:row>
    <x:row r="271" ht="15" hidden="0" customHeight="1">
      <x:c r="A271" s="18" t="str">
        <x:v>PS-S12</x:v>
      </x:c>
      <x:c r="B271" s="18" t="str">
        <x:v>PS-LOC-TOWN</x:v>
      </x:c>
      <x:c r="C271" s="18" t="str">
        <x:v>Unnamed foreign town</x:v>
      </x:c>
      <x:c r="D271" s="18" t="str">
        <x:v>Foreign destination and urban setting.</x:v>
      </x:c>
    </x:row>
    <x:row r="272" ht="15" hidden="0" customHeight="1">
      <x:c r="A272" s="17" t="str">
        <x:v>PS-S12</x:v>
      </x:c>
      <x:c r="B272" s="17" t="str">
        <x:v>PS-PRP-BEDDING</x:v>
      </x:c>
      <x:c r="C272" s="17" t="str">
        <x:v>Younger’s bedding and clothing bundle</x:v>
      </x:c>
      <x:c r="D272" s="17" t="str">
        <x:v>Travel belongings and shelter.</x:v>
      </x:c>
    </x:row>
    <x:row r="273" ht="15" hidden="0" customHeight="1">
      <x:c r="A273" s="18" t="str">
        <x:v>PS-S12</x:v>
      </x:c>
      <x:c r="B273" s="18" t="str">
        <x:v>PS-PRP-CLOTHDISPLAY</x:v>
      </x:c>
      <x:c r="C273" s="18" t="str">
        <x:v>Cloth seller’s bolts and display</x:v>
      </x:c>
      <x:c r="D273" s="18" t="str">
        <x:v>Damon steadies cloth and younger later sells gift.</x:v>
      </x:c>
    </x:row>
    <x:row r="274" ht="15" hidden="0" customHeight="1">
      <x:c r="A274" s="17" t="str">
        <x:v>PS-S12</x:v>
      </x:c>
      <x:c r="B274" s="17" t="str">
        <x:v>PS-PRP-COINCLOTH</x:v>
      </x:c>
      <x:c r="C274" s="17" t="str">
        <x:v>Coin-counting cloth and bundles</x:v>
      </x:c>
      <x:c r="D274" s="17" t="str">
        <x:v>Portable wealth layout.</x:v>
      </x:c>
    </x:row>
    <x:row r="275" ht="15" hidden="0" customHeight="1">
      <x:c r="A275" s="18" t="str">
        <x:v>PS-S12</x:v>
      </x:c>
      <x:c r="B275" s="18" t="str">
        <x:v>PS-PRP-COINS</x:v>
      </x:c>
      <x:c r="C275" s="18" t="str">
        <x:v>Silver and copper money</x:v>
      </x:c>
      <x:c r="D275" s="18" t="str">
        <x:v>Inheritance, excess payments, debt and scarcity.</x:v>
      </x:c>
    </x:row>
    <x:row r="276" ht="15" hidden="0" customHeight="1">
      <x:c r="A276" s="17" t="str">
        <x:v>PS-S12</x:v>
      </x:c>
      <x:c r="B276" s="17" t="str">
        <x:v>PS-PRP-MONEYPOUCH</x:v>
      </x:c>
      <x:c r="C276" s="17" t="str">
        <x:v>Younger’s money pouch</x:v>
      </x:c>
      <x:c r="D276" s="17" t="str">
        <x:v>Money and status object.</x:v>
      </x:c>
    </x:row>
    <x:row r="277" ht="15" hidden="0" customHeight="1">
      <x:c r="A277" s="18" t="str">
        <x:v>PS-S12</x:v>
      </x:c>
      <x:c r="B277" s="18" t="str">
        <x:v>PS-PRP-TAVERNWARE</x:v>
      </x:c>
      <x:c r="C277" s="18" t="str">
        <x:v>Foreign banquet dishes, cups and jug</x:v>
      </x:c>
      <x:c r="D277" s="18" t="str">
        <x:v>Food service, cup spill and debt denial.</x:v>
      </x:c>
    </x:row>
    <x:row r="278" ht="15" hidden="0" customHeight="1">
      <x:c r="A278" s="17" t="str">
        <x:v>PS-S12</x:v>
      </x:c>
      <x:c r="B278" s="17" t="str">
        <x:v>PS-PRP-WATERSKIN</x:v>
      </x:c>
      <x:c r="C278" s="17" t="str">
        <x:v>Elder’s repaired waterskin</x:v>
      </x:c>
      <x:c r="D278" s="17" t="str">
        <x:v>Travel support and brotherly care object.</x:v>
      </x:c>
    </x:row>
    <x:row r="279" ht="15" hidden="0" customHeight="1">
      <x:c r="A279" s="18" t="str">
        <x:v>PS-S12</x:v>
      </x:c>
      <x:c r="B279" s="18" t="str">
        <x:v>PS-SET-ROOMPEG</x:v>
      </x:c>
      <x:c r="C279" s="18" t="str">
        <x:v>Room garment peg</x:v>
      </x:c>
      <x:c r="D279" s="18" t="str">
        <x:v>Sale of father’s gift.</x:v>
      </x:c>
    </x:row>
    <x:row r="280" ht="15" hidden="0" customHeight="1">
      <x:c r="A280" s="17" t="str">
        <x:v>PS-S12</x:v>
      </x:c>
      <x:c r="B280" s="17" t="str">
        <x:v>PS-SET-TOWNSTOCK</x:v>
      </x:c>
      <x:c r="C280" s="17" t="str">
        <x:v>Market sacks, awnings and stalls</x:v>
      </x:c>
      <x:c r="D280" s="17" t="str">
        <x:v>Market continuity and famine visible without exposition.</x:v>
      </x:c>
    </x:row>
    <x:row r="281" ht="15" hidden="0" customHeight="1">
      <x:c r="A281" s="18" t="str">
        <x:v>PS-S12</x:v>
      </x:c>
      <x:c r="B281" s="18" t="str">
        <x:v>PS-WAR-BLUE</x:v>
      </x:c>
      <x:c r="C281" s="18" t="str">
        <x:v>Purchased blue-bordered mantle</x:v>
      </x:c>
      <x:c r="D281" s="18" t="str">
        <x:v>Purchased welcome and later remaining saleable garment.</x:v>
      </x:c>
    </x:row>
    <x:row r="282" ht="15" hidden="0" customHeight="1">
      <x:c r="A282" s="17" t="str">
        <x:v>PS-S12</x:v>
      </x:c>
      <x:c r="B282" s="17" t="str">
        <x:v>PS-WAR-FOREIGNKIT</x:v>
      </x:c>
      <x:c r="C282" s="17" t="str">
        <x:v>Foreign town and farm clothing</x:v>
      </x:c>
      <x:c r="D282" s="17" t="str">
        <x:v>Foreign supporting cast costume continuity.</x:v>
      </x:c>
    </x:row>
    <x:row r="283" ht="15" hidden="0" customHeight="1">
      <x:c r="A283" s="18" t="str">
        <x:v>PS-S12</x:v>
      </x:c>
      <x:c r="B283" s="18" t="str">
        <x:v>PS-WAR-RUSSET</x:v>
      </x:c>
      <x:c r="C283" s="18" t="str">
        <x:v>Younger’s russet gift mantle</x:v>
      </x:c>
      <x:c r="D283" s="18" t="str">
        <x:v>Gift, threshold talk, travel, display and sale.</x:v>
      </x:c>
    </x:row>
    <x:row r="284" ht="15" hidden="0" customHeight="1">
      <x:c r="A284" s="17" t="str">
        <x:v>PS-S12</x:v>
      </x:c>
      <x:c r="B284" s="17" t="str">
        <x:v>PS-WAR-YOUNGERSANDAL</x:v>
      </x:c>
      <x:c r="C284" s="17" t="str">
        <x:v>Younger’s original sandals</x:v>
      </x:c>
      <x:c r="D284" s="17" t="str">
        <x:v>Original footwear and return-journey failure.</x:v>
      </x:c>
    </x:row>
    <x:row r="285" ht="15" hidden="0" customHeight="1">
      <x:c r="A285" s="18" t="str">
        <x:v>PS-S12</x:v>
      </x:c>
      <x:c r="B285" s="18" t="str">
        <x:v>PS-WAR-YOUNGERTUNIC</x:v>
      </x:c>
      <x:c r="C285" s="18" t="str">
        <x:v>Younger’s plain tunic</x:v>
      </x:c>
      <x:c r="D285" s="18" t="str">
        <x:v>Core garment through entire younger-son story.</x:v>
      </x:c>
    </x:row>
    <x:row r="286" ht="15" hidden="0" customHeight="1">
      <x:c r="A286" s="17" t="str">
        <x:v>PS-S13</x:v>
      </x:c>
      <x:c r="B286" s="17" t="str">
        <x:v>PS-CHR-BREADSELLER</x:v>
      </x:c>
      <x:c r="C286" s="17" t="str">
        <x:v>Bread seller</x:v>
      </x:c>
      <x:c r="D286" s="17" t="str">
        <x:v>Visible market seller with careful portioning and practical demeanor.</x:v>
      </x:c>
    </x:row>
    <x:row r="287" ht="15" hidden="0" customHeight="1">
      <x:c r="A287" s="18" t="str">
        <x:v>PS-S13</x:v>
      </x:c>
      <x:c r="B287" s="18" t="str">
        <x:v>PS-CHR-DAMON</x:v>
      </x:c>
      <x:c r="C287" s="18" t="str">
        <x:v>Damon</x:v>
      </x:c>
      <x:c r="D287" s="18" t="str">
        <x:v>Offers friendship, dances, later shares scarce bread with a child.</x:v>
      </x:c>
    </x:row>
    <x:row r="288" ht="15" hidden="0" customHeight="1">
      <x:c r="A288" s="17" t="str">
        <x:v>PS-S13</x:v>
      </x:c>
      <x:c r="B288" s="17" t="str">
        <x:v>PS-CHR-FARMER</x:v>
      </x:c>
      <x:c r="C288" s="17" t="str">
        <x:v>Foreign farmer</x:v>
      </x:c>
      <x:c r="D288" s="17" t="str">
        <x:v>Offers feed-carrying work; associated household beyond pig enclosure.</x:v>
      </x:c>
    </x:row>
    <x:row r="289" ht="15" hidden="0" customHeight="1">
      <x:c r="A289" s="18" t="str">
        <x:v>PS-S13</x:v>
      </x:c>
      <x:c r="B289" s="18" t="str">
        <x:v>PS-CHR-HOST</x:v>
      </x:c>
      <x:c r="C289" s="18" t="str">
        <x:v>Host</x:v>
      </x:c>
      <x:c r="D289" s="18" t="str">
        <x:v>Wakes younger beneath stair and sends him into street.</x:v>
      </x:c>
    </x:row>
    <x:row r="290" ht="15" hidden="0" customHeight="1">
      <x:c r="A290" s="17" t="str">
        <x:v>PS-S13</x:v>
      </x:c>
      <x:c r="B290" s="17" t="str">
        <x:v>PS-CHR-YOUNGER</x:v>
      </x:c>
      <x:c r="C290" s="17" t="str">
        <x:v>Younger son</x:v>
      </x:c>
      <x:c r="D290" s="17" t="str">
        <x:v>Younger son present in action.</x:v>
      </x:c>
    </x:row>
    <x:row r="291" ht="15" hidden="0" customHeight="1">
      <x:c r="A291" s="18" t="str">
        <x:v>PS-S13</x:v>
      </x:c>
      <x:c r="B291" s="18" t="str">
        <x:v>PS-EXT-CHILD</x:v>
      </x:c>
      <x:c r="C291" s="18" t="str">
        <x:v>Child at bread stall</x:v>
      </x:c>
      <x:c r="D291" s="18" t="str">
        <x:v>Child provides everyday market continuity.</x:v>
      </x:c>
    </x:row>
    <x:row r="292" ht="15" hidden="0" customHeight="1">
      <x:c r="A292" s="17" t="str">
        <x:v>PS-S13</x:v>
      </x:c>
      <x:c r="B292" s="17" t="str">
        <x:v>PS-EXT-FAMINEFAMILY</x:v>
      </x:c>
      <x:c r="C292" s="17" t="str">
        <x:v>Famine-displaced family</x:v>
      </x:c>
      <x:c r="D292" s="17" t="str">
        <x:v>Loads last belongings beyond town.</x:v>
      </x:c>
    </x:row>
    <x:row r="293" ht="15" hidden="0" customHeight="1">
      <x:c r="A293" s="18" t="str">
        <x:v>PS-S13</x:v>
      </x:c>
      <x:c r="B293" s="18" t="str">
        <x:v>PS-EXT-MARKET</x:v>
      </x:c>
      <x:c r="C293" s="18" t="str">
        <x:v>Foreign market workers and buyers</x:v>
      </x:c>
      <x:c r="D293" s="18" t="str">
        <x:v>Markets, garment sale, jar-carrying work and grain-store queue.</x:v>
      </x:c>
    </x:row>
    <x:row r="294" ht="15" hidden="0" customHeight="1">
      <x:c r="A294" s="17" t="str">
        <x:v>PS-S13</x:v>
      </x:c>
      <x:c r="B294" s="17" t="str">
        <x:v>PS-FOD-MARKETBREAD</x:v>
      </x:c>
      <x:c r="C294" s="17" t="str">
        <x:v>Market bread and flour portions</x:v>
      </x:c>
      <x:c r="D294" s="17" t="str">
        <x:v>Scarcity and mutual humanity.</x:v>
      </x:c>
    </x:row>
    <x:row r="295" ht="15" hidden="0" customHeight="1">
      <x:c r="A295" s="18" t="str">
        <x:v>PS-S13</x:v>
      </x:c>
      <x:c r="B295" s="18" t="str">
        <x:v>PS-GRM-YOUNGERHUNGER</x:v>
      </x:c>
      <x:c r="C295" s="18" t="str">
        <x:v>Younger during hunger and pig labor</x:v>
      </x:c>
      <x:c r="D295" s="18" t="str">
        <x:v>Famine, labor and return condition.</x:v>
      </x:c>
    </x:row>
    <x:row r="296" ht="15" hidden="0" customHeight="1">
      <x:c r="A296" s="17" t="str">
        <x:v>PS-S13</x:v>
      </x:c>
      <x:c r="B296" s="17" t="str">
        <x:v>PS-LOC-FAMINE</x:v>
      </x:c>
      <x:c r="C296" s="17" t="str">
        <x:v>Foreign market in famine</x:v>
      </x:c>
      <x:c r="D296" s="17" t="str">
        <x:v>Famine market and waiting people.</x:v>
      </x:c>
    </x:row>
    <x:row r="297" ht="15" hidden="0" customHeight="1">
      <x:c r="A297" s="18" t="str">
        <x:v>PS-S13</x:v>
      </x:c>
      <x:c r="B297" s="18" t="str">
        <x:v>PS-LOC-MARKET</x:v>
      </x:c>
      <x:c r="C297" s="18" t="str">
        <x:v>Foreign market street</x:v>
      </x:c>
      <x:c r="D297" s="18" t="str">
        <x:v>Arrival purchases, russet sale and hunger.</x:v>
      </x:c>
    </x:row>
    <x:row r="298" ht="15" hidden="0" customHeight="1">
      <x:c r="A298" s="17" t="str">
        <x:v>PS-S13</x:v>
      </x:c>
      <x:c r="B298" s="17" t="str">
        <x:v>PS-LOC-OUTSKIRTS</x:v>
      </x:c>
      <x:c r="C298" s="17" t="str">
        <x:v>Foreign dry fields and outskirts</x:v>
      </x:c>
      <x:c r="D298" s="17" t="str">
        <x:v>Search for work and first meeting with farmer.</x:v>
      </x:c>
    </x:row>
    <x:row r="299" ht="15" hidden="0" customHeight="1">
      <x:c r="A299" s="18" t="str">
        <x:v>PS-S13</x:v>
      </x:c>
      <x:c r="B299" s="18" t="str">
        <x:v>PS-LOC-STAIR</x:v>
      </x:c>
      <x:c r="C299" s="18" t="str">
        <x:v>Street stair sleeping place</x:v>
      </x:c>
      <x:c r="D299" s="18" t="str">
        <x:v>Younger sleeps with bedding and is moved on.</x:v>
      </x:c>
    </x:row>
    <x:row r="300" ht="15" hidden="0" customHeight="1">
      <x:c r="A300" s="17" t="str">
        <x:v>PS-S13</x:v>
      </x:c>
      <x:c r="B300" s="17" t="str">
        <x:v>PS-LOC-TOWN</x:v>
      </x:c>
      <x:c r="C300" s="17" t="str">
        <x:v>Unnamed foreign town</x:v>
      </x:c>
      <x:c r="D300" s="17" t="str">
        <x:v>Foreign destination and urban setting.</x:v>
      </x:c>
    </x:row>
    <x:row r="301" ht="15" hidden="0" customHeight="1">
      <x:c r="A301" s="18" t="str">
        <x:v>PS-S13</x:v>
      </x:c>
      <x:c r="B301" s="18" t="str">
        <x:v>PS-PRP-BEDDING</x:v>
      </x:c>
      <x:c r="C301" s="18" t="str">
        <x:v>Younger’s bedding and clothing bundle</x:v>
      </x:c>
      <x:c r="D301" s="18" t="str">
        <x:v>Travel belongings and shelter.</x:v>
      </x:c>
    </x:row>
    <x:row r="302" ht="15" hidden="0" customHeight="1">
      <x:c r="A302" s="17" t="str">
        <x:v>PS-S13</x:v>
      </x:c>
      <x:c r="B302" s="17" t="str">
        <x:v>PS-PRP-COINS</x:v>
      </x:c>
      <x:c r="C302" s="17" t="str">
        <x:v>Silver and copper money</x:v>
      </x:c>
      <x:c r="D302" s="17" t="str">
        <x:v>Inheritance, excess payments, debt and scarcity.</x:v>
      </x:c>
    </x:row>
    <x:row r="303" ht="15" hidden="0" customHeight="1">
      <x:c r="A303" s="18" t="str">
        <x:v>PS-S13</x:v>
      </x:c>
      <x:c r="B303" s="18" t="str">
        <x:v>PS-PRP-MARKETSCALE</x:v>
      </x:c>
      <x:c r="C303" s="18" t="str">
        <x:v>Bread seller’s scale and flour measure</x:v>
      </x:c>
      <x:c r="D303" s="18" t="str">
        <x:v>Market generosity and scarcity inserts.</x:v>
      </x:c>
    </x:row>
    <x:row r="304" ht="15" hidden="0" customHeight="1">
      <x:c r="A304" s="17" t="str">
        <x:v>PS-S13</x:v>
      </x:c>
      <x:c r="B304" s="17" t="str">
        <x:v>PS-PRP-MERCHANTJAR</x:v>
      </x:c>
      <x:c r="C304" s="17" t="str">
        <x:v>Heavy jar carried for merchant</x:v>
      </x:c>
      <x:c r="D304" s="17" t="str">
        <x:v>Failed work-for-food effort.</x:v>
      </x:c>
    </x:row>
    <x:row r="305" ht="15" hidden="0" customHeight="1">
      <x:c r="A305" s="18" t="str">
        <x:v>PS-S13</x:v>
      </x:c>
      <x:c r="B305" s="18" t="str">
        <x:v>PS-PRP-SLEDGE</x:v>
      </x:c>
      <x:c r="C305" s="18" t="str">
        <x:v>Family’s hand-dragged sledge</x:v>
      </x:c>
      <x:c r="D305" s="18" t="str">
        <x:v>Displacement in failed-field outskirts.</x:v>
      </x:c>
    </x:row>
    <x:row r="306" ht="15" hidden="0" customHeight="1">
      <x:c r="A306" s="17" t="str">
        <x:v>PS-S13</x:v>
      </x:c>
      <x:c r="B306" s="17" t="str">
        <x:v>PS-PRP-WATERSKIN</x:v>
      </x:c>
      <x:c r="C306" s="17" t="str">
        <x:v>Elder’s repaired waterskin</x:v>
      </x:c>
      <x:c r="D306" s="17" t="str">
        <x:v>Travel support and brotherly care object.</x:v>
      </x:c>
    </x:row>
    <x:row r="307" ht="15" hidden="0" customHeight="1">
      <x:c r="A307" s="18" t="str">
        <x:v>PS-S13</x:v>
      </x:c>
      <x:c r="B307" s="18" t="str">
        <x:v>PS-SET-TOWNSTOCK</x:v>
      </x:c>
      <x:c r="C307" s="18" t="str">
        <x:v>Market sacks, awnings and stalls</x:v>
      </x:c>
      <x:c r="D307" s="18" t="str">
        <x:v>Market continuity and famine visible without exposition.</x:v>
      </x:c>
    </x:row>
    <x:row r="308" ht="15" hidden="0" customHeight="1">
      <x:c r="A308" s="17" t="str">
        <x:v>PS-S13</x:v>
      </x:c>
      <x:c r="B308" s="17" t="str">
        <x:v>PS-WAR-BLUE</x:v>
      </x:c>
      <x:c r="C308" s="17" t="str">
        <x:v>Purchased blue-bordered mantle</x:v>
      </x:c>
      <x:c r="D308" s="17" t="str">
        <x:v>Purchased welcome and later remaining saleable garment.</x:v>
      </x:c>
    </x:row>
    <x:row r="309" ht="15" hidden="0" customHeight="1">
      <x:c r="A309" s="18" t="str">
        <x:v>PS-S13</x:v>
      </x:c>
      <x:c r="B309" s="18" t="str">
        <x:v>PS-WAR-FOREIGNKIT</x:v>
      </x:c>
      <x:c r="C309" s="18" t="str">
        <x:v>Foreign town and farm clothing</x:v>
      </x:c>
      <x:c r="D309" s="18" t="str">
        <x:v>Foreign supporting cast costume continuity.</x:v>
      </x:c>
    </x:row>
    <x:row r="310" ht="15" hidden="0" customHeight="1">
      <x:c r="A310" s="17" t="str">
        <x:v>PS-S13</x:v>
      </x:c>
      <x:c r="B310" s="17" t="str">
        <x:v>PS-WAR-YOUNGERSANDAL</x:v>
      </x:c>
      <x:c r="C310" s="17" t="str">
        <x:v>Younger’s original sandals</x:v>
      </x:c>
      <x:c r="D310" s="17" t="str">
        <x:v>Original footwear and return-journey failure.</x:v>
      </x:c>
    </x:row>
    <x:row r="311" ht="15" hidden="0" customHeight="1">
      <x:c r="A311" s="18" t="str">
        <x:v>PS-S13</x:v>
      </x:c>
      <x:c r="B311" s="18" t="str">
        <x:v>PS-WAR-YOUNGERTUNIC</x:v>
      </x:c>
      <x:c r="C311" s="18" t="str">
        <x:v>Younger’s plain tunic</x:v>
      </x:c>
      <x:c r="D311" s="18" t="str">
        <x:v>Core garment through entire younger-son story.</x:v>
      </x:c>
    </x:row>
    <x:row r="312" ht="15" hidden="0" customHeight="1">
      <x:c r="A312" s="17" t="str">
        <x:v>PS-S14</x:v>
      </x:c>
      <x:c r="B312" s="17" t="str">
        <x:v>PS-ANM-CATTLE</x:v>
      </x:c>
      <x:c r="C312" s="17" t="str">
        <x:v>Household cattle</x:v>
      </x:c>
      <x:c r="D312" s="17" t="str">
        <x:v>Adjacent pen and Levi’s animal-care context.</x:v>
      </x:c>
    </x:row>
    <x:row r="313" ht="15" hidden="0" customHeight="1">
      <x:c r="A313" s="18" t="str">
        <x:v>PS-S14</x:v>
      </x:c>
      <x:c r="B313" s="18" t="str">
        <x:v>PS-CHR-ELDER</x:v>
      </x:c>
      <x:c r="C313" s="18" t="str">
        <x:v>Elder son</x:v>
      </x:c>
      <x:c r="D313" s="18" t="str">
        <x:v>Elder present in family and field action.</x:v>
      </x:c>
    </x:row>
    <x:row r="314" ht="15" hidden="0" customHeight="1">
      <x:c r="A314" s="17" t="str">
        <x:v>PS-S14</x:v>
      </x:c>
      <x:c r="B314" s="17" t="str">
        <x:v>PS-CHR-FATHER</x:v>
      </x:c>
      <x:c r="C314" s="17" t="str">
        <x:v>Father</x:v>
      </x:c>
      <x:c r="D314" s="17" t="str">
        <x:v>Cares for elder’s hand; observes store-room exchange.</x:v>
      </x:c>
    </x:row>
    <x:row r="315" ht="15" hidden="0" customHeight="1">
      <x:c r="A315" s="18" t="str">
        <x:v>PS-S14</x:v>
      </x:c>
      <x:c r="B315" s="18" t="str">
        <x:v>PS-CHR-LEVI</x:v>
      </x:c>
      <x:c r="C315" s="18" t="str">
        <x:v>Levi, hired field hand</x:v>
      </x:c>
      <x:c r="D315" s="18" t="str">
        <x:v>Hired hand present in household/field work.</x:v>
      </x:c>
    </x:row>
    <x:row r="316" ht="15" hidden="0" customHeight="1">
      <x:c r="A316" s="17" t="str">
        <x:v>PS-S14</x:v>
      </x:c>
      <x:c r="B316" s="17" t="str">
        <x:v>PS-EXT-HOMEWORKERS</x:v>
      </x:c>
      <x:c r="C316" s="17" t="str">
        <x:v>Household workers and second servant</x:v>
      </x:c>
      <x:c r="D316" s="17" t="str">
        <x:v>Work, eat and prepare household celebration.</x:v>
      </x:c>
    </x:row>
    <x:row r="317" ht="15" hidden="0" customHeight="1">
      <x:c r="A317" s="18" t="str">
        <x:v>PS-S14</x:v>
      </x:c>
      <x:c r="B317" s="18" t="str">
        <x:v>PS-FOD-GRAIN</x:v>
      </x:c>
      <x:c r="C317" s="18" t="str">
        <x:v>Stored grain and spill</x:v>
      </x:c>
      <x:c r="D317" s="18" t="str">
        <x:v>Farm stores and elder’s apology.</x:v>
      </x:c>
    </x:row>
    <x:row r="318" ht="15" hidden="0" customHeight="1">
      <x:c r="A318" s="17" t="str">
        <x:v>PS-S14</x:v>
      </x:c>
      <x:c r="B318" s="17" t="str">
        <x:v>PS-GRM-ELDERPALM</x:v>
      </x:c>
      <x:c r="C318" s="17" t="str">
        <x:v>Elder’s left palm wound and scar</x:v>
      </x:c>
      <x:c r="D318" s="17" t="str">
        <x:v>Hand care, concealed overwork and thumb pressing scar.</x:v>
      </x:c>
    </x:row>
    <x:row r="319" ht="15" hidden="0" customHeight="1">
      <x:c r="A319" s="18" t="str">
        <x:v>PS-S14</x:v>
      </x:c>
      <x:c r="B319" s="18" t="str">
        <x:v>PS-LOC-CISTERN</x:v>
      </x:c>
      <x:c r="C319" s="18" t="str">
        <x:v>Farm cistern and washing point</x:v>
      </x:c>
      <x:c r="D319" s="18" t="str">
        <x:v>Father takes rope and washes elder’s reopened palm.</x:v>
      </x:c>
    </x:row>
    <x:row r="320" ht="15" hidden="0" customHeight="1">
      <x:c r="A320" s="17" t="str">
        <x:v>PS-S14</x:v>
      </x:c>
      <x:c r="B320" s="17" t="str">
        <x:v>PS-LOC-COURTYARD</x:v>
      </x:c>
      <x:c r="C320" s="17" t="str">
        <x:v>Working family courtyard</x:v>
      </x:c>
      <x:c r="D320" s="17" t="str">
        <x:v>Household arrival, meals, work, care and restoration.</x:v>
      </x:c>
    </x:row>
    <x:row r="321" ht="15" hidden="0" customHeight="1">
      <x:c r="A321" s="18" t="str">
        <x:v>PS-S14</x:v>
      </x:c>
      <x:c r="B321" s="18" t="str">
        <x:v>PS-LOC-HOMESTEAD</x:v>
      </x:c>
      <x:c r="C321" s="18" t="str">
        <x:v>Family farm geography</x:v>
      </x:c>
      <x:c r="D321" s="18" t="str">
        <x:v>Master relationship of road, courtyard entrance, fields and wall.</x:v>
      </x:c>
    </x:row>
    <x:row r="322" ht="15" hidden="0" customHeight="1">
      <x:c r="A322" s="17" t="str">
        <x:v>PS-S14</x:v>
      </x:c>
      <x:c r="B322" s="17" t="str">
        <x:v>PS-LOC-PEN</x:v>
      </x:c>
      <x:c r="C322" s="17" t="str">
        <x:v>Home cattle pen</x:v>
      </x:c>
      <x:c r="D322" s="17" t="str">
        <x:v>Home livestock and preparation of celebration.</x:v>
      </x:c>
    </x:row>
    <x:row r="323" ht="15" hidden="0" customHeight="1">
      <x:c r="A323" s="18" t="str">
        <x:v>PS-S14</x:v>
      </x:c>
      <x:c r="B323" s="18" t="str">
        <x:v>PS-LOC-STORE</x:v>
      </x:c>
      <x:c r="C323" s="18" t="str">
        <x:v>Family store room</x:v>
      </x:c>
      <x:c r="D323" s="18" t="str">
        <x:v>Property division and elder’s apology after basket failure.</x:v>
      </x:c>
    </x:row>
    <x:row r="324" ht="15" hidden="0" customHeight="1">
      <x:c r="A324" s="17" t="str">
        <x:v>PS-S14</x:v>
      </x:c>
      <x:c r="B324" s="17" t="str">
        <x:v>PS-PRP-BASKETMENDED</x:v>
      </x:c>
      <x:c r="C324" s="17" t="str">
        <x:v>Damaged basket and younger’s repair</x:v>
      </x:c>
      <x:c r="D324" s="17" t="str">
        <x:v>Visual connection between brothers through practical care.</x:v>
      </x:c>
    </x:row>
    <x:row r="325" ht="15" hidden="0" customHeight="1">
      <x:c r="A325" s="18" t="str">
        <x:v>PS-S14</x:v>
      </x:c>
      <x:c r="B325" s="18" t="str">
        <x:v>PS-PRP-BASKETSOUND</x:v>
      </x:c>
      <x:c r="C325" s="18" t="str">
        <x:v>Elder’s sound basket for Levi</x:v>
      </x:c>
      <x:c r="D325" s="18" t="str">
        <x:v>Work basket exchange and home labor.</x:v>
      </x:c>
    </x:row>
    <x:row r="326" ht="15" hidden="0" customHeight="1">
      <x:c r="A326" s="17" t="str">
        <x:v>PS-S14</x:v>
      </x:c>
      <x:c r="B326" s="17" t="str">
        <x:v>PS-PRP-CISTERNROPE</x:v>
      </x:c>
      <x:c r="C326" s="17" t="str">
        <x:v>Cistern rope and raised water jar</x:v>
      </x:c>
      <x:c r="D326" s="17" t="str">
        <x:v>Father caring for elder at water point.</x:v>
      </x:c>
    </x:row>
    <x:row r="327" ht="15" hidden="0" customHeight="1">
      <x:c r="A327" s="18" t="str">
        <x:v>PS-S14</x:v>
      </x:c>
      <x:c r="B327" s="18" t="str">
        <x:v>PS-PRP-PALMCLOTH</x:v>
      </x:c>
      <x:c r="C327" s="18" t="str">
        <x:v>Elder’s hand dressing cloth</x:v>
      </x:c>
      <x:c r="D327" s="18" t="str">
        <x:v>Father’s hand care continuity.</x:v>
      </x:c>
    </x:row>
    <x:row r="328" ht="15" hidden="0" customHeight="1">
      <x:c r="A328" s="17" t="str">
        <x:v>PS-S14</x:v>
      </x:c>
      <x:c r="B328" s="17" t="str">
        <x:v>PS-PRP-WASHBOWL</x:v>
      </x:c>
      <x:c r="C328" s="17" t="str">
        <x:v>Home washing bowl and water</x:v>
      </x:c>
      <x:c r="D328" s="17" t="str">
        <x:v>Care actions and everyday washing.</x:v>
      </x:c>
    </x:row>
    <x:row r="329" ht="15" hidden="0" customHeight="1">
      <x:c r="A329" s="18" t="str">
        <x:v>PS-S14</x:v>
      </x:c>
      <x:c r="B329" s="18" t="str">
        <x:v>PS-SET-HOMEAWNING</x:v>
      </x:c>
      <x:c r="C329" s="18" t="str">
        <x:v>Home awning and textile coverings</x:v>
      </x:c>
      <x:c r="D329" s="18" t="str">
        <x:v>Working-yard continuity.</x:v>
      </x:c>
    </x:row>
    <x:row r="330" ht="15" hidden="0" customHeight="1">
      <x:c r="A330" s="17" t="str">
        <x:v>PS-S14</x:v>
      </x:c>
      <x:c r="B330" s="17" t="str">
        <x:v>PS-SET-HOMEVESSELS</x:v>
      </x:c>
      <x:c r="C330" s="17" t="str">
        <x:v>Home jars, cups and storage vessels</x:v>
      </x:c>
      <x:c r="D330" s="17" t="str">
        <x:v>Prosperous working household background and handling.</x:v>
      </x:c>
    </x:row>
    <x:row r="331" ht="15" hidden="0" customHeight="1">
      <x:c r="A331" s="18" t="str">
        <x:v>PS-S14</x:v>
      </x:c>
      <x:c r="B331" s="18" t="str">
        <x:v>PS-WAR-ELDER</x:v>
      </x:c>
      <x:c r="C331" s="18" t="str">
        <x:v>Elder’s work tunic and sandals</x:v>
      </x:c>
      <x:c r="D331" s="18" t="str">
        <x:v>Elder’s ordinary clothing through unresolved ending.</x:v>
      </x:c>
    </x:row>
    <x:row r="332" ht="15" hidden="0" customHeight="1">
      <x:c r="A332" s="17" t="str">
        <x:v>PS-S14</x:v>
      </x:c>
      <x:c r="B332" s="17" t="str">
        <x:v>PS-WAR-FATHER</x:v>
      </x:c>
      <x:c r="C332" s="17" t="str">
        <x:v>Father’s everyday clothes and mantle</x:v>
      </x:c>
      <x:c r="D332" s="17" t="str">
        <x:v>Father’s home scenes and continuous reunion.</x:v>
      </x:c>
    </x:row>
    <x:row r="333" ht="15" hidden="0" customHeight="1">
      <x:c r="A333" s="18" t="str">
        <x:v>PS-S14</x:v>
      </x:c>
      <x:c r="B333" s="18" t="str">
        <x:v>PS-WAR-HOMEKIT</x:v>
      </x:c>
      <x:c r="C333" s="18" t="str">
        <x:v>Home workers and neighbors’ clothing</x:v>
      </x:c>
      <x:c r="D333" s="18" t="str">
        <x:v>Home supporting cast and feast costume consistency.</x:v>
      </x:c>
    </x:row>
    <x:row r="334" ht="15" hidden="0" customHeight="1">
      <x:c r="A334" s="17" t="str">
        <x:v>PS-S15</x:v>
      </x:c>
      <x:c r="B334" s="17" t="str">
        <x:v>PS-ANM-PIGS</x:v>
      </x:c>
      <x:c r="C334" s="17" t="str">
        <x:v>Foreign farm domestic pigs</x:v>
      </x:c>
      <x:c r="D334" s="17" t="str">
        <x:v>Press rails, feed at trough, shoulder past younger and take dropped pod.</x:v>
      </x:c>
    </x:row>
    <x:row r="335" ht="15" hidden="0" customHeight="1">
      <x:c r="A335" s="18" t="str">
        <x:v>PS-S15</x:v>
      </x:c>
      <x:c r="B335" s="18" t="str">
        <x:v>PS-CHR-ELDER</x:v>
      </x:c>
      <x:c r="C335" s="18" t="str">
        <x:v>Elder son</x:v>
      </x:c>
      <x:c r="D335" s="18" t="str">
        <x:v>Silent memory of S2 basket exchange with Levi; use original S2 appearance.</x:v>
      </x:c>
    </x:row>
    <x:row r="336" ht="15" hidden="0" customHeight="1">
      <x:c r="A336" s="17" t="str">
        <x:v>PS-S15</x:v>
      </x:c>
      <x:c r="B336" s="17" t="str">
        <x:v>PS-CHR-FARMER</x:v>
      </x:c>
      <x:c r="C336" s="17" t="str">
        <x:v>Foreign farmer</x:v>
      </x:c>
      <x:c r="D336" s="17" t="str">
        <x:v>Offers feed-carrying work; associated household beyond pig enclosure.</x:v>
      </x:c>
    </x:row>
    <x:row r="337" ht="15" hidden="0" customHeight="1">
      <x:c r="A337" s="18" t="str">
        <x:v>PS-S15</x:v>
      </x:c>
      <x:c r="B337" s="18" t="str">
        <x:v>PS-CHR-FATHER</x:v>
      </x:c>
      <x:c r="C337" s="18" t="str">
        <x:v>Father</x:v>
      </x:c>
      <x:c r="D337" s="18" t="str">
        <x:v>Silent memory insert from S4: father divides bread.</x:v>
      </x:c>
    </x:row>
    <x:row r="338" ht="15" hidden="0" customHeight="1">
      <x:c r="A338" s="17" t="str">
        <x:v>PS-S15</x:v>
      </x:c>
      <x:c r="B338" s="17" t="str">
        <x:v>PS-CHR-HANNAH</x:v>
      </x:c>
      <x:c r="C338" s="17" t="str">
        <x:v>Hannah, kitchen manager</x:v>
      </x:c>
      <x:c r="D338" s="17" t="str">
        <x:v>Household food and care work.</x:v>
      </x:c>
    </x:row>
    <x:row r="339" ht="15" hidden="0" customHeight="1">
      <x:c r="A339" s="18" t="str">
        <x:v>PS-S15</x:v>
      </x:c>
      <x:c r="B339" s="18" t="str">
        <x:v>PS-CHR-LEVI</x:v>
      </x:c>
      <x:c r="C339" s="18" t="str">
        <x:v>Levi, hired field hand</x:v>
      </x:c>
      <x:c r="D339" s="18" t="str">
        <x:v>Silent memory of S2: takes sound basket from elder.</x:v>
      </x:c>
    </x:row>
    <x:row r="340" ht="15" hidden="0" customHeight="1">
      <x:c r="A340" s="17" t="str">
        <x:v>PS-S15</x:v>
      </x:c>
      <x:c r="B340" s="17" t="str">
        <x:v>PS-CHR-YOUNGER</x:v>
      </x:c>
      <x:c r="C340" s="17" t="str">
        <x:v>Younger son</x:v>
      </x:c>
      <x:c r="D340" s="17" t="str">
        <x:v>Younger son present in action.</x:v>
      </x:c>
    </x:row>
    <x:row r="341" ht="15" hidden="0" customHeight="1">
      <x:c r="A341" s="18" t="str">
        <x:v>PS-S15</x:v>
      </x:c>
      <x:c r="B341" s="18" t="str">
        <x:v>PS-EXT-FARMHOUSE</x:v>
      </x:c>
      <x:c r="C341" s="18" t="str">
        <x:v>Foreign farmer’s household</x:v>
      </x:c>
      <x:c r="D341" s="18" t="str">
        <x:v>Meal observed by hungry younger.</x:v>
      </x:c>
    </x:row>
    <x:row r="342" ht="15" hidden="0" customHeight="1">
      <x:c r="A342" s="17" t="str">
        <x:v>PS-S15</x:v>
      </x:c>
      <x:c r="B342" s="17" t="str">
        <x:v>PS-FOD-HOMEBREAD</x:v>
      </x:c>
      <x:c r="C342" s="17" t="str">
        <x:v>Home bread</x:v>
      </x:c>
      <x:c r="D342" s="17" t="str">
        <x:v>Bread shared, withheld from oneself, remembered and served.</x:v>
      </x:c>
    </x:row>
    <x:row r="343" ht="15" hidden="0" customHeight="1">
      <x:c r="A343" s="18" t="str">
        <x:v>PS-S15</x:v>
      </x:c>
      <x:c r="B343" s="18" t="str">
        <x:v>PS-FOD-HOMEMEALS</x:v>
      </x:c>
      <x:c r="C343" s="18" t="str">
        <x:v>Lentils, olives and household meals</x:v>
      </x:c>
      <x:c r="D343" s="18" t="str">
        <x:v>Ordinary nourishment and feast accompaniments.</x:v>
      </x:c>
    </x:row>
    <x:row r="344" ht="15" hidden="0" customHeight="1">
      <x:c r="A344" s="17" t="str">
        <x:v>PS-S15</x:v>
      </x:c>
      <x:c r="B344" s="17" t="str">
        <x:v>PS-FOD-PODS</x:v>
      </x:c>
      <x:c r="C344" s="17" t="str">
        <x:v>Dry feed pods and dropped hero pod</x:v>
      </x:c>
      <x:c r="D344" s="17" t="str">
        <x:v>Pig-feed hunger beat.</x:v>
      </x:c>
    </x:row>
    <x:row r="345" ht="15" hidden="0" customHeight="1">
      <x:c r="A345" s="18" t="str">
        <x:v>PS-S15</x:v>
      </x:c>
      <x:c r="B345" s="18" t="str">
        <x:v>PS-GRM-YOUNGERHUNGER</x:v>
      </x:c>
      <x:c r="C345" s="18" t="str">
        <x:v>Younger during hunger and pig labor</x:v>
      </x:c>
      <x:c r="D345" s="18" t="str">
        <x:v>Famine, labor and return condition.</x:v>
      </x:c>
    </x:row>
    <x:row r="346" ht="15" hidden="0" customHeight="1">
      <x:c r="A346" s="17" t="str">
        <x:v>PS-S15</x:v>
      </x:c>
      <x:c r="B346" s="17" t="str">
        <x:v>PS-INS-BASKETMEMORY</x:v>
      </x:c>
      <x:c r="C346" s="17" t="str">
        <x:v>Silent basket memory from S2</x:v>
      </x:c>
      <x:c r="D346" s="17" t="str">
        <x:v>Brief silent remembered practical kindness.</x:v>
      </x:c>
    </x:row>
    <x:row r="347" ht="15" hidden="0" customHeight="1">
      <x:c r="A347" s="18" t="str">
        <x:v>PS-S15</x:v>
      </x:c>
      <x:c r="B347" s="18" t="str">
        <x:v>PS-INS-SUPPERMEMORY</x:v>
      </x:c>
      <x:c r="C347" s="18" t="str">
        <x:v>Silent supper memory from S4</x:v>
      </x:c>
      <x:c r="D347" s="18" t="str">
        <x:v>Brief silent remembered fragments at coming-to-himself beat.</x:v>
      </x:c>
    </x:row>
    <x:row r="348" ht="15" hidden="0" customHeight="1">
      <x:c r="A348" s="17" t="str">
        <x:v>PS-S15</x:v>
      </x:c>
      <x:c r="B348" s="17" t="str">
        <x:v>PS-LOC-PIGFARM</x:v>
      </x:c>
      <x:c r="C348" s="17" t="str">
        <x:v>Foreign pig enclosure and lean-to</x:v>
      </x:c>
      <x:c r="D348" s="17" t="str">
        <x:v>Pig labor, withheld meal, feed pod and coming to himself.</x:v>
      </x:c>
    </x:row>
    <x:row r="349" ht="15" hidden="0" customHeight="1">
      <x:c r="A349" s="18" t="str">
        <x:v>PS-S15</x:v>
      </x:c>
      <x:c r="B349" s="18" t="str">
        <x:v>PS-LOC-SUPPER</x:v>
      </x:c>
      <x:c r="C349" s="18" t="str">
        <x:v>Family supper room</x:v>
      </x:c>
      <x:c r="D349" s="18" t="str">
        <x:v>Inheritance request and silent memory fragments.</x:v>
      </x:c>
    </x:row>
    <x:row r="350" ht="15" hidden="0" customHeight="1">
      <x:c r="A350" s="17" t="str">
        <x:v>PS-S15</x:v>
      </x:c>
      <x:c r="B350" s="17" t="str">
        <x:v>PS-LOC-TERRACE</x:v>
      </x:c>
      <x:c r="C350" s="17" t="str">
        <x:v>Upper terrace and retaining wall</x:v>
      </x:c>
      <x:c r="D350" s="17" t="str">
        <x:v>Field work and elder/father meals.</x:v>
      </x:c>
    </x:row>
    <x:row r="351" ht="15" hidden="0" customHeight="1">
      <x:c r="A351" s="18" t="str">
        <x:v>PS-S15</x:v>
      </x:c>
      <x:c r="B351" s="18" t="str">
        <x:v>PS-PRP-BASKETMENDED</x:v>
      </x:c>
      <x:c r="C351" s="18" t="str">
        <x:v>Damaged basket and younger’s repair</x:v>
      </x:c>
      <x:c r="D351" s="18" t="str">
        <x:v>Visual connection between brothers through practical care.</x:v>
      </x:c>
    </x:row>
    <x:row r="352" ht="15" hidden="0" customHeight="1">
      <x:c r="A352" s="17" t="str">
        <x:v>PS-S15</x:v>
      </x:c>
      <x:c r="B352" s="17" t="str">
        <x:v>PS-PRP-BASKETSOUND</x:v>
      </x:c>
      <x:c r="C352" s="17" t="str">
        <x:v>Elder’s sound basket for Levi</x:v>
      </x:c>
      <x:c r="D352" s="17" t="str">
        <x:v>Work basket exchange and home labor.</x:v>
      </x:c>
    </x:row>
    <x:row r="353" ht="15" hidden="0" customHeight="1">
      <x:c r="A353" s="18" t="str">
        <x:v>PS-S15</x:v>
      </x:c>
      <x:c r="B353" s="18" t="str">
        <x:v>PS-PRP-BEDDING</x:v>
      </x:c>
      <x:c r="C353" s="18" t="str">
        <x:v>Younger’s bedding and clothing bundle</x:v>
      </x:c>
      <x:c r="D353" s="18" t="str">
        <x:v>Travel belongings and shelter.</x:v>
      </x:c>
    </x:row>
    <x:row r="354" ht="15" hidden="0" customHeight="1">
      <x:c r="A354" s="17" t="str">
        <x:v>PS-S15</x:v>
      </x:c>
      <x:c r="B354" s="17" t="str">
        <x:v>PS-PRP-BREADCLOTH</x:v>
      </x:c>
      <x:c r="C354" s="17" t="str">
        <x:v>Hannah’s bread wrapping cloth</x:v>
      </x:c>
      <x:c r="D354" s="17" t="str">
        <x:v>Memory object prompting hunger/home realization.</x:v>
      </x:c>
    </x:row>
    <x:row r="355" ht="15" hidden="0" customHeight="1">
      <x:c r="A355" s="18" t="str">
        <x:v>PS-S15</x:v>
      </x:c>
      <x:c r="B355" s="18" t="str">
        <x:v>PS-PRP-MONEYPOUCH</x:v>
      </x:c>
      <x:c r="C355" s="18" t="str">
        <x:v>Younger’s money pouch</x:v>
      </x:c>
      <x:c r="D355" s="18" t="str">
        <x:v>Money and status object.</x:v>
      </x:c>
    </x:row>
    <x:row r="356" ht="15" hidden="0" customHeight="1">
      <x:c r="A356" s="17" t="str">
        <x:v>PS-S15</x:v>
      </x:c>
      <x:c r="B356" s="17" t="str">
        <x:v>PS-PRP-PIGFEEDBASKET</x:v>
      </x:c>
      <x:c r="C356" s="17" t="str">
        <x:v>Foreign farm feed basket</x:v>
      </x:c>
      <x:c r="D356" s="17" t="str">
        <x:v>Pig labor and leaving service.</x:v>
      </x:c>
    </x:row>
    <x:row r="357" ht="15" hidden="0" customHeight="1">
      <x:c r="A357" s="18" t="str">
        <x:v>PS-S15</x:v>
      </x:c>
      <x:c r="B357" s="18" t="str">
        <x:v>PS-PRP-SERVINGBOWL</x:v>
      </x:c>
      <x:c r="C357" s="18" t="str">
        <x:v>Fuller bowl for hired workers</x:v>
      </x:c>
      <x:c r="D357" s="18" t="str">
        <x:v>Everyone in father’s household has enough to eat.</x:v>
      </x:c>
    </x:row>
    <x:row r="358" ht="15" hidden="0" customHeight="1">
      <x:c r="A358" s="17" t="str">
        <x:v>PS-S15</x:v>
      </x:c>
      <x:c r="B358" s="17" t="str">
        <x:v>PS-PRP-TROUGH</x:v>
      </x:c>
      <x:c r="C358" s="17" t="str">
        <x:v>Pig trough and rails</x:v>
      </x:c>
      <x:c r="D358" s="17" t="str">
        <x:v>Hunger, failed attempt at feed and night pig sounds.</x:v>
      </x:c>
    </x:row>
    <x:row r="359" ht="15" hidden="0" customHeight="1">
      <x:c r="A359" s="18" t="str">
        <x:v>PS-S15</x:v>
      </x:c>
      <x:c r="B359" s="18" t="str">
        <x:v>PS-PRP-WATERSKIN</x:v>
      </x:c>
      <x:c r="C359" s="18" t="str">
        <x:v>Elder’s repaired waterskin</x:v>
      </x:c>
      <x:c r="D359" s="18" t="str">
        <x:v>Travel support and brotherly care object.</x:v>
      </x:c>
    </x:row>
    <x:row r="360" ht="15" hidden="0" customHeight="1">
      <x:c r="A360" s="17" t="str">
        <x:v>PS-S15</x:v>
      </x:c>
      <x:c r="B360" s="17" t="str">
        <x:v>PS-SET-FOREIGNMEAL</x:v>
      </x:c>
      <x:c r="C360" s="17" t="str">
        <x:v>Foreign household meal dishes</x:v>
      </x:c>
      <x:c r="D360" s="17" t="str">
        <x:v>Younger waits to be remembered.</x:v>
      </x:c>
    </x:row>
    <x:row r="361" ht="15" hidden="0" customHeight="1">
      <x:c r="A361" s="18" t="str">
        <x:v>PS-S15</x:v>
      </x:c>
      <x:c r="B361" s="18" t="str">
        <x:v>PS-SET-HOMETABLE</x:v>
      </x:c>
      <x:c r="C361" s="18" t="str">
        <x:v>Home low table and seating</x:v>
      </x:c>
      <x:c r="D361" s="18" t="str">
        <x:v>Meals, request and feast.</x:v>
      </x:c>
    </x:row>
    <x:row r="362" ht="15" hidden="0" customHeight="1">
      <x:c r="A362" s="17" t="str">
        <x:v>PS-S15</x:v>
      </x:c>
      <x:c r="B362" s="17" t="str">
        <x:v>PS-WAR-BLUE</x:v>
      </x:c>
      <x:c r="C362" s="17" t="str">
        <x:v>Purchased blue-bordered mantle</x:v>
      </x:c>
      <x:c r="D362" s="17" t="str">
        <x:v>Purchased welcome and later remaining saleable garment.</x:v>
      </x:c>
    </x:row>
    <x:row r="363" ht="15" hidden="0" customHeight="1">
      <x:c r="A363" s="18" t="str">
        <x:v>PS-S15</x:v>
      </x:c>
      <x:c r="B363" s="18" t="str">
        <x:v>PS-WAR-ELDER</x:v>
      </x:c>
      <x:c r="C363" s="18" t="str">
        <x:v>Elder’s work tunic and sandals</x:v>
      </x:c>
      <x:c r="D363" s="18" t="str">
        <x:v>Elder’s ordinary clothing through unresolved ending.</x:v>
      </x:c>
    </x:row>
    <x:row r="364" ht="15" hidden="0" customHeight="1">
      <x:c r="A364" s="17" t="str">
        <x:v>PS-S15</x:v>
      </x:c>
      <x:c r="B364" s="17" t="str">
        <x:v>PS-WAR-FATHER</x:v>
      </x:c>
      <x:c r="C364" s="17" t="str">
        <x:v>Father’s everyday clothes and mantle</x:v>
      </x:c>
      <x:c r="D364" s="17" t="str">
        <x:v>Exact S4 father’s sleeve and hand appearance in bread-sharing memory. No S18 reunion dirt.</x:v>
      </x:c>
    </x:row>
    <x:row r="365" ht="15" hidden="0" customHeight="1">
      <x:c r="A365" s="18" t="str">
        <x:v>PS-S15</x:v>
      </x:c>
      <x:c r="B365" s="18" t="str">
        <x:v>PS-WAR-FOREIGNKIT</x:v>
      </x:c>
      <x:c r="C365" s="18" t="str">
        <x:v>Foreign town and farm clothing</x:v>
      </x:c>
      <x:c r="D365" s="18" t="str">
        <x:v>Foreign supporting cast costume continuity.</x:v>
      </x:c>
    </x:row>
    <x:row r="366" ht="15" hidden="0" customHeight="1">
      <x:c r="A366" s="17" t="str">
        <x:v>PS-S15</x:v>
      </x:c>
      <x:c r="B366" s="17" t="str">
        <x:v>PS-WAR-HOMEKIT</x:v>
      </x:c>
      <x:c r="C366" s="17" t="str">
        <x:v>Home workers and neighbors’ clothing</x:v>
      </x:c>
      <x:c r="D366" s="17" t="str">
        <x:v>Home supporting cast and feast costume consistency.</x:v>
      </x:c>
    </x:row>
    <x:row r="367" ht="15" hidden="0" customHeight="1">
      <x:c r="A367" s="18" t="str">
        <x:v>PS-S15</x:v>
      </x:c>
      <x:c r="B367" s="18" t="str">
        <x:v>PS-WAR-YOUNGERSANDAL</x:v>
      </x:c>
      <x:c r="C367" s="18" t="str">
        <x:v>Younger’s original sandals</x:v>
      </x:c>
      <x:c r="D367" s="18" t="str">
        <x:v>Original footwear and return-journey failure.</x:v>
      </x:c>
    </x:row>
    <x:row r="368" ht="15" hidden="0" customHeight="1">
      <x:c r="A368" s="17" t="str">
        <x:v>PS-S15</x:v>
      </x:c>
      <x:c r="B368" s="17" t="str">
        <x:v>PS-WAR-YOUNGERTUNIC</x:v>
      </x:c>
      <x:c r="C368" s="17" t="str">
        <x:v>Younger’s plain tunic</x:v>
      </x:c>
      <x:c r="D368" s="17" t="str">
        <x:v>Core garment through entire younger-son story.</x:v>
      </x:c>
    </x:row>
    <x:row r="369" ht="15" hidden="0" customHeight="1">
      <x:c r="A369" s="18" t="str">
        <x:v>PS-S16</x:v>
      </x:c>
      <x:c r="B369" s="18" t="str">
        <x:v>PS-CHR-ELDER</x:v>
      </x:c>
      <x:c r="C369" s="18" t="str">
        <x:v>Elder son</x:v>
      </x:c>
      <x:c r="D369" s="18" t="str">
        <x:v>Elder present in family and field action.</x:v>
      </x:c>
    </x:row>
    <x:row r="370" ht="15" hidden="0" customHeight="1">
      <x:c r="A370" s="17" t="str">
        <x:v>PS-S16</x:v>
      </x:c>
      <x:c r="B370" s="17" t="str">
        <x:v>PS-CHR-FATHER</x:v>
      </x:c>
      <x:c r="C370" s="17" t="str">
        <x:v>Father</x:v>
      </x:c>
      <x:c r="D370" s="17" t="str">
        <x:v>Brings food and mantle; praises elder’s work.</x:v>
      </x:c>
    </x:row>
    <x:row r="371" ht="15" hidden="0" customHeight="1">
      <x:c r="A371" s="18" t="str">
        <x:v>PS-S16</x:v>
      </x:c>
      <x:c r="B371" s="18" t="str">
        <x:v>PS-FOD-HOMEBREAD</x:v>
      </x:c>
      <x:c r="C371" s="18" t="str">
        <x:v>Home bread</x:v>
      </x:c>
      <x:c r="D371" s="18" t="str">
        <x:v>Bread shared, withheld from oneself, remembered and served.</x:v>
      </x:c>
    </x:row>
    <x:row r="372" ht="15" hidden="0" customHeight="1">
      <x:c r="A372" s="17" t="str">
        <x:v>PS-S16</x:v>
      </x:c>
      <x:c r="B372" s="17" t="str">
        <x:v>PS-FOD-HOMEMEALS</x:v>
      </x:c>
      <x:c r="C372" s="17" t="str">
        <x:v>Lentils, olives and household meals</x:v>
      </x:c>
      <x:c r="D372" s="17" t="str">
        <x:v>Ordinary nourishment and feast accompaniments.</x:v>
      </x:c>
    </x:row>
    <x:row r="373" ht="15" hidden="0" customHeight="1">
      <x:c r="A373" s="18" t="str">
        <x:v>PS-S16</x:v>
      </x:c>
      <x:c r="B373" s="18" t="str">
        <x:v>PS-GRM-ELDERPALM</x:v>
      </x:c>
      <x:c r="C373" s="18" t="str">
        <x:v>Elder’s left palm wound and scar</x:v>
      </x:c>
      <x:c r="D373" s="18" t="str">
        <x:v>Hand care, concealed overwork and thumb pressing scar.</x:v>
      </x:c>
    </x:row>
    <x:row r="374" ht="15" hidden="0" customHeight="1">
      <x:c r="A374" s="17" t="str">
        <x:v>PS-S16</x:v>
      </x:c>
      <x:c r="B374" s="17" t="str">
        <x:v>PS-LOC-HOMESTEAD</x:v>
      </x:c>
      <x:c r="C374" s="17" t="str">
        <x:v>Family farm geography</x:v>
      </x:c>
      <x:c r="D374" s="17" t="str">
        <x:v>Master relationship of road, courtyard entrance, fields and wall.</x:v>
      </x:c>
    </x:row>
    <x:row r="375" ht="15" hidden="0" customHeight="1">
      <x:c r="A375" s="18" t="str">
        <x:v>PS-S16</x:v>
      </x:c>
      <x:c r="B375" s="18" t="str">
        <x:v>PS-LOC-TERRACE</x:v>
      </x:c>
      <x:c r="C375" s="18" t="str">
        <x:v>Upper terrace and retaining wall</x:v>
      </x:c>
      <x:c r="D375" s="18" t="str">
        <x:v>Field work and elder/father meals.</x:v>
      </x:c>
    </x:row>
    <x:row r="376" ht="15" hidden="0" customHeight="1">
      <x:c r="A376" s="17" t="str">
        <x:v>PS-S16</x:v>
      </x:c>
      <x:c r="B376" s="17" t="str">
        <x:v>PS-PRP-ELDERBOWL</x:v>
      </x:c>
      <x:c r="C376" s="17" t="str">
        <x:v>Elder’s food bowl</x:v>
      </x:c>
      <x:c r="D376" s="17" t="str">
        <x:v>Food and unpaid emotional need motif.</x:v>
      </x:c>
    </x:row>
    <x:row r="377" ht="15" hidden="0" customHeight="1">
      <x:c r="A377" s="18" t="str">
        <x:v>PS-S16</x:v>
      </x:c>
      <x:c r="B377" s="18" t="str">
        <x:v>PS-PRP-FIELDSTONES</x:v>
      </x:c>
      <x:c r="C377" s="18" t="str">
        <x:v>Retaining-wall loose fieldstones</x:v>
      </x:c>
      <x:c r="D377" s="18" t="str">
        <x:v>Wall labor and progress.</x:v>
      </x:c>
    </x:row>
    <x:row r="378" ht="15" hidden="0" customHeight="1">
      <x:c r="A378" s="17" t="str">
        <x:v>PS-S16</x:v>
      </x:c>
      <x:c r="B378" s="17" t="str">
        <x:v>PS-PRP-WALLCORD</x:v>
      </x:c>
      <x:c r="C378" s="17" t="str">
        <x:v>Wall setting line and cord</x:v>
      </x:c>
      <x:c r="D378" s="17" t="str">
        <x:v>Brothers hold alignment; repair continues.</x:v>
      </x:c>
    </x:row>
    <x:row r="379" ht="15" hidden="0" customHeight="1">
      <x:c r="A379" s="18" t="str">
        <x:v>PS-S16</x:v>
      </x:c>
      <x:c r="B379" s="18" t="str">
        <x:v>PS-WAR-ELDER</x:v>
      </x:c>
      <x:c r="C379" s="18" t="str">
        <x:v>Elder’s work tunic and sandals</x:v>
      </x:c>
      <x:c r="D379" s="18" t="str">
        <x:v>Elder’s ordinary clothing through unresolved ending.</x:v>
      </x:c>
    </x:row>
    <x:row r="380" ht="15" hidden="0" customHeight="1">
      <x:c r="A380" s="17" t="str">
        <x:v>PS-S16</x:v>
      </x:c>
      <x:c r="B380" s="17" t="str">
        <x:v>PS-WAR-FATHER</x:v>
      </x:c>
      <x:c r="C380" s="17" t="str">
        <x:v>Father’s everyday clothes and mantle</x:v>
      </x:c>
      <x:c r="D380" s="17" t="str">
        <x:v>Father’s home scenes and continuous reunion.</x:v>
      </x:c>
    </x:row>
    <x:row r="381" ht="15" hidden="0" customHeight="1">
      <x:c r="A381" s="18" t="str">
        <x:v>PS-S16</x:v>
      </x:c>
      <x:c r="B381" s="18" t="str">
        <x:v>PS-WAR-OLIVE</x:v>
      </x:c>
      <x:c r="C381" s="18" t="str">
        <x:v>Elder’s olive gift mantle</x:v>
      </x:c>
      <x:c r="D381" s="18" t="str">
        <x:v>Physical continuity of father’s attentive love for elder.</x:v>
      </x:c>
    </x:row>
    <x:row r="382" ht="15" hidden="0" customHeight="1">
      <x:c r="A382" s="17" t="str">
        <x:v>PS-S17</x:v>
      </x:c>
      <x:c r="B382" s="17" t="str">
        <x:v>PS-ANM-PASSDONKEY</x:v>
      </x:c>
      <x:c r="C382" s="17" t="str">
        <x:v>Passing road donkey</x:v>
      </x:c>
      <x:c r="D382" s="17" t="str">
        <x:v>Causes younger to step aside near home.</x:v>
      </x:c>
    </x:row>
    <x:row r="383" ht="15" hidden="0" customHeight="1">
      <x:c r="A383" s="18" t="str">
        <x:v>PS-S17</x:v>
      </x:c>
      <x:c r="B383" s="18" t="str">
        <x:v>PS-CHR-YOUNGER</x:v>
      </x:c>
      <x:c r="C383" s="18" t="str">
        <x:v>Younger son</x:v>
      </x:c>
      <x:c r="D383" s="18" t="str">
        <x:v>Younger son present in action.</x:v>
      </x:c>
    </x:row>
    <x:row r="384" ht="15" hidden="0" customHeight="1">
      <x:c r="A384" s="17" t="str">
        <x:v>PS-S17</x:v>
      </x:c>
      <x:c r="B384" s="17" t="str">
        <x:v>PS-EXT-DONKEYDRIVER</x:v>
      </x:c>
      <x:c r="C384" s="17" t="str">
        <x:v>Passing donkey driver</x:v>
      </x:c>
      <x:c r="D384" s="17" t="str">
        <x:v>Passes younger near home.</x:v>
      </x:c>
    </x:row>
    <x:row r="385" ht="15" hidden="0" customHeight="1">
      <x:c r="A385" s="18" t="str">
        <x:v>PS-S17</x:v>
      </x:c>
      <x:c r="B385" s="18" t="str">
        <x:v>PS-EXT-ROADTRADE</x:v>
      </x:c>
      <x:c r="C385" s="18" t="str">
        <x:v>Roadside food trader</x:v>
      </x:c>
      <x:c r="D385" s="18" t="str">
        <x:v>Accepts blue-bordered mantle before younger continues home.</x:v>
      </x:c>
    </x:row>
    <x:row r="386" ht="15" hidden="0" customHeight="1">
      <x:c r="A386" s="17" t="str">
        <x:v>PS-S17</x:v>
      </x:c>
      <x:c r="B386" s="17" t="str">
        <x:v>PS-FOD-TRAVEL</x:v>
      </x:c>
      <x:c r="C386" s="17" t="str">
        <x:v>Departure and roadside food portions</x:v>
      </x:c>
      <x:c r="D386" s="17" t="str">
        <x:v>Provisions and last sale of garment.</x:v>
      </x:c>
    </x:row>
    <x:row r="387" ht="15" hidden="0" customHeight="1">
      <x:c r="A387" s="18" t="str">
        <x:v>PS-S17</x:v>
      </x:c>
      <x:c r="B387" s="18" t="str">
        <x:v>PS-GRM-YOUNGERHUNGER</x:v>
      </x:c>
      <x:c r="C387" s="18" t="str">
        <x:v>Younger during hunger and pig labor</x:v>
      </x:c>
      <x:c r="D387" s="18" t="str">
        <x:v>Famine, labor and return condition.</x:v>
      </x:c>
    </x:row>
    <x:row r="388" ht="15" hidden="0" customHeight="1">
      <x:c r="A388" s="17" t="str">
        <x:v>PS-S17</x:v>
      </x:c>
      <x:c r="B388" s="17" t="str">
        <x:v>PS-LOC-HOMEROAD</x:v>
      </x:c>
      <x:c r="C388" s="17" t="str">
        <x:v>Home road and field approach</x:v>
      </x:c>
      <x:c r="D388" s="17" t="str">
        <x:v>Father arrives/departure and younger’s return.</x:v>
      </x:c>
    </x:row>
    <x:row r="389" ht="15" hidden="0" customHeight="1">
      <x:c r="A389" s="18" t="str">
        <x:v>PS-S17</x:v>
      </x:c>
      <x:c r="B389" s="18" t="str">
        <x:v>PS-LOC-HOMESTEAD</x:v>
      </x:c>
      <x:c r="C389" s="18" t="str">
        <x:v>Family farm geography</x:v>
      </x:c>
      <x:c r="D389" s="18" t="str">
        <x:v>Master relationship of road, courtyard entrance, fields and wall.</x:v>
      </x:c>
    </x:row>
    <x:row r="390" ht="15" hidden="0" customHeight="1">
      <x:c r="A390" s="17" t="str">
        <x:v>PS-S17</x:v>
      </x:c>
      <x:c r="B390" s="17" t="str">
        <x:v>PS-LOC-JOURNEY</x:v>
      </x:c>
      <x:c r="C390" s="17" t="str">
        <x:v>Escarpment, ridge and road fork</x:v>
      </x:c>
      <x:c r="D390" s="17" t="str">
        <x:v>Departure expansiveness and difficult return.</x:v>
      </x:c>
    </x:row>
    <x:row r="391" ht="15" hidden="0" customHeight="1">
      <x:c r="A391" s="18" t="str">
        <x:v>PS-S17</x:v>
      </x:c>
      <x:c r="B391" s="18" t="str">
        <x:v>PS-LOC-RETURNSHELTER</x:v>
      </x:c>
      <x:c r="C391" s="18" t="str">
        <x:v>Return-road barter shelter</x:v>
      </x:c>
      <x:c r="D391" s="18" t="str">
        <x:v>Shelter and unnamed food recipient for last garment exchange.</x:v>
      </x:c>
    </x:row>
    <x:row r="392" ht="15" hidden="0" customHeight="1">
      <x:c r="A392" s="17" t="str">
        <x:v>PS-S17</x:v>
      </x:c>
      <x:c r="B392" s="17" t="str">
        <x:v>PS-LOC-ROADCISTERN</x:v>
      </x:c>
      <x:c r="C392" s="17" t="str">
        <x:v>Roadside cistern and resting place</x:v>
      </x:c>
      <x:c r="D392" s="17" t="str">
        <x:v>Rest, water and travel object transitions.</x:v>
      </x:c>
    </x:row>
    <x:row r="393" ht="15" hidden="0" customHeight="1">
      <x:c r="A393" s="18" t="str">
        <x:v>PS-S17</x:v>
      </x:c>
      <x:c r="B393" s="18" t="str">
        <x:v>PS-PRP-BEDDING</x:v>
      </x:c>
      <x:c r="C393" s="18" t="str">
        <x:v>Younger’s bedding and clothing bundle</x:v>
      </x:c>
      <x:c r="D393" s="18" t="str">
        <x:v>Travel belongings and shelter.</x:v>
      </x:c>
    </x:row>
    <x:row r="394" ht="15" hidden="0" customHeight="1">
      <x:c r="A394" s="17" t="str">
        <x:v>PS-S17</x:v>
      </x:c>
      <x:c r="B394" s="17" t="str">
        <x:v>PS-PRP-BREADCLOTH</x:v>
      </x:c>
      <x:c r="C394" s="17" t="str">
        <x:v>Hannah’s bread wrapping cloth</x:v>
      </x:c>
      <x:c r="D394" s="17" t="str">
        <x:v>Memory object prompting hunger/home realization.</x:v>
      </x:c>
    </x:row>
    <x:row r="395" ht="15" hidden="0" customHeight="1">
      <x:c r="A395" s="18" t="str">
        <x:v>PS-S17</x:v>
      </x:c>
      <x:c r="B395" s="18" t="str">
        <x:v>PS-PRP-WATERSKIN</x:v>
      </x:c>
      <x:c r="C395" s="18" t="str">
        <x:v>Elder’s repaired waterskin</x:v>
      </x:c>
      <x:c r="D395" s="18" t="str">
        <x:v>Travel support and brotherly care object.</x:v>
      </x:c>
    </x:row>
    <x:row r="396" ht="15" hidden="0" customHeight="1">
      <x:c r="A396" s="17" t="str">
        <x:v>PS-S17</x:v>
      </x:c>
      <x:c r="B396" s="17" t="str">
        <x:v>PS-WAR-BLUE</x:v>
      </x:c>
      <x:c r="C396" s="17" t="str">
        <x:v>Purchased blue-bordered mantle</x:v>
      </x:c>
      <x:c r="D396" s="17" t="str">
        <x:v>Purchased welcome and later remaining saleable garment.</x:v>
      </x:c>
    </x:row>
    <x:row r="397" ht="15" hidden="0" customHeight="1">
      <x:c r="A397" s="18" t="str">
        <x:v>PS-S17</x:v>
      </x:c>
      <x:c r="B397" s="18" t="str">
        <x:v>PS-WAR-FOREIGNKIT</x:v>
      </x:c>
      <x:c r="C397" s="18" t="str">
        <x:v>Foreign town and farm clothing</x:v>
      </x:c>
      <x:c r="D397" s="18" t="str">
        <x:v>Foreign supporting cast costume continuity.</x:v>
      </x:c>
    </x:row>
    <x:row r="398" ht="15" hidden="0" customHeight="1">
      <x:c r="A398" s="17" t="str">
        <x:v>PS-S17</x:v>
      </x:c>
      <x:c r="B398" s="17" t="str">
        <x:v>PS-WAR-YOUNGERSANDAL</x:v>
      </x:c>
      <x:c r="C398" s="17" t="str">
        <x:v>Younger’s original sandals</x:v>
      </x:c>
      <x:c r="D398" s="17" t="str">
        <x:v>Original footwear and return-journey failure.</x:v>
      </x:c>
    </x:row>
    <x:row r="399" ht="15" hidden="0" customHeight="1">
      <x:c r="A399" s="18" t="str">
        <x:v>PS-S17</x:v>
      </x:c>
      <x:c r="B399" s="18" t="str">
        <x:v>PS-WAR-YOUNGERTUNIC</x:v>
      </x:c>
      <x:c r="C399" s="18" t="str">
        <x:v>Younger’s plain tunic</x:v>
      </x:c>
      <x:c r="D399" s="18" t="str">
        <x:v>Core garment through entire younger-son story.</x:v>
      </x:c>
    </x:row>
    <x:row r="400" ht="15" hidden="0" customHeight="1">
      <x:c r="A400" s="17" t="str">
        <x:v>PS-S18</x:v>
      </x:c>
      <x:c r="B400" s="17" t="str">
        <x:v>PS-CHR-FATHER</x:v>
      </x:c>
      <x:c r="C400" s="17" t="str">
        <x:v>Father</x:v>
      </x:c>
      <x:c r="D400" s="17" t="str">
        <x:v>Recognizes, runs, embraces and kisses returning son before confession.</x:v>
      </x:c>
    </x:row>
    <x:row r="401" ht="15" hidden="0" customHeight="1">
      <x:c r="A401" s="18" t="str">
        <x:v>PS-S18</x:v>
      </x:c>
      <x:c r="B401" s="18" t="str">
        <x:v>PS-CHR-MATTAN</x:v>
      </x:c>
      <x:c r="C401" s="18" t="str">
        <x:v>Mattan, steward</x:v>
      </x:c>
      <x:c r="D401" s="18" t="str">
        <x:v>Steward, carrier liaison and trusted household helper.</x:v>
      </x:c>
    </x:row>
    <x:row r="402" ht="15" hidden="0" customHeight="1">
      <x:c r="A402" s="17" t="str">
        <x:v>PS-S18</x:v>
      </x:c>
      <x:c r="B402" s="17" t="str">
        <x:v>PS-CHR-YOUNGER</x:v>
      </x:c>
      <x:c r="C402" s="17" t="str">
        <x:v>Younger son</x:v>
      </x:c>
      <x:c r="D402" s="17" t="str">
        <x:v>Younger son present in action.</x:v>
      </x:c>
    </x:row>
    <x:row r="403" ht="15" hidden="0" customHeight="1">
      <x:c r="A403" s="18" t="str">
        <x:v>PS-S18</x:v>
      </x:c>
      <x:c r="B403" s="18" t="str">
        <x:v>PS-GRM-FATHERDUST</x:v>
      </x:c>
      <x:c r="C403" s="18" t="str">
        <x:v>Father’s reunion road dust</x:v>
      </x:c>
      <x:c r="D403" s="18" t="str">
        <x:v>Grounded cost of reunion without instant cleanup.</x:v>
      </x:c>
    </x:row>
    <x:row r="404" ht="15" hidden="0" customHeight="1">
      <x:c r="A404" s="17" t="str">
        <x:v>PS-S18</x:v>
      </x:c>
      <x:c r="B404" s="17" t="str">
        <x:v>PS-GRM-YOUNGERHUNGER</x:v>
      </x:c>
      <x:c r="C404" s="17" t="str">
        <x:v>Younger during hunger and pig labor</x:v>
      </x:c>
      <x:c r="D404" s="17" t="str">
        <x:v>Famine, labor and return condition.</x:v>
      </x:c>
    </x:row>
    <x:row r="405" ht="15" hidden="0" customHeight="1">
      <x:c r="A405" s="18" t="str">
        <x:v>PS-S18</x:v>
      </x:c>
      <x:c r="B405" s="18" t="str">
        <x:v>PS-LOC-COURTYARD</x:v>
      </x:c>
      <x:c r="C405" s="18" t="str">
        <x:v>Working family courtyard</x:v>
      </x:c>
      <x:c r="D405" s="18" t="str">
        <x:v>Household arrival, meals, work, care and restoration.</x:v>
      </x:c>
    </x:row>
    <x:row r="406" ht="15" hidden="0" customHeight="1">
      <x:c r="A406" s="17" t="str">
        <x:v>PS-S18</x:v>
      </x:c>
      <x:c r="B406" s="17" t="str">
        <x:v>PS-LOC-ENTRANCE</x:v>
      </x:c>
      <x:c r="C406" s="17" t="str">
        <x:v>Courtyard threshold and road entrance</x:v>
      </x:c>
      <x:c r="D406" s="17" t="str">
        <x:v>Departure, brother conversation, father’s recognition and final refusal/invitation.</x:v>
      </x:c>
    </x:row>
    <x:row r="407" ht="15" hidden="0" customHeight="1">
      <x:c r="A407" s="18" t="str">
        <x:v>PS-S18</x:v>
      </x:c>
      <x:c r="B407" s="18" t="str">
        <x:v>PS-LOC-HOMEROAD</x:v>
      </x:c>
      <x:c r="C407" s="18" t="str">
        <x:v>Home road and field approach</x:v>
      </x:c>
      <x:c r="D407" s="18" t="str">
        <x:v>Father arrives/departure and younger’s return.</x:v>
      </x:c>
    </x:row>
    <x:row r="408" ht="15" hidden="0" customHeight="1">
      <x:c r="A408" s="17" t="str">
        <x:v>PS-S18</x:v>
      </x:c>
      <x:c r="B408" s="17" t="str">
        <x:v>PS-LOC-HOMESTEAD</x:v>
      </x:c>
      <x:c r="C408" s="17" t="str">
        <x:v>Family farm geography</x:v>
      </x:c>
      <x:c r="D408" s="17" t="str">
        <x:v>Master relationship of road, courtyard entrance, fields and wall.</x:v>
      </x:c>
    </x:row>
    <x:row r="409" ht="15" hidden="0" customHeight="1">
      <x:c r="A409" s="18" t="str">
        <x:v>PS-S18</x:v>
      </x:c>
      <x:c r="B409" s="18" t="str">
        <x:v>PS-PRP-BEDDING</x:v>
      </x:c>
      <x:c r="C409" s="18" t="str">
        <x:v>Younger’s bedding and clothing bundle</x:v>
      </x:c>
      <x:c r="D409" s="18" t="str">
        <x:v>Travel belongings and shelter.</x:v>
      </x:c>
    </x:row>
    <x:row r="410" ht="15" hidden="0" customHeight="1">
      <x:c r="A410" s="17" t="str">
        <x:v>PS-S18</x:v>
      </x:c>
      <x:c r="B410" s="17" t="str">
        <x:v>PS-PRP-BREADCLOTH</x:v>
      </x:c>
      <x:c r="C410" s="17" t="str">
        <x:v>Hannah’s bread wrapping cloth</x:v>
      </x:c>
      <x:c r="D410" s="17" t="str">
        <x:v>Memory object prompting hunger/home realization.</x:v>
      </x:c>
    </x:row>
    <x:row r="411" ht="15" hidden="0" customHeight="1">
      <x:c r="A411" s="18" t="str">
        <x:v>PS-S18</x:v>
      </x:c>
      <x:c r="B411" s="18" t="str">
        <x:v>PS-PRP-WATERSKIN</x:v>
      </x:c>
      <x:c r="C411" s="18" t="str">
        <x:v>Elder’s repaired waterskin</x:v>
      </x:c>
      <x:c r="D411" s="18" t="str">
        <x:v>Travel support and brotherly care object.</x:v>
      </x:c>
    </x:row>
    <x:row r="412" ht="15" hidden="0" customHeight="1">
      <x:c r="A412" s="17" t="str">
        <x:v>PS-S18</x:v>
      </x:c>
      <x:c r="B412" s="17" t="str">
        <x:v>PS-SET-HOMEVESSELS</x:v>
      </x:c>
      <x:c r="C412" s="17" t="str">
        <x:v>Home jars, cups and storage vessels</x:v>
      </x:c>
      <x:c r="D412" s="17" t="str">
        <x:v>Prosperous working household background and handling.</x:v>
      </x:c>
    </x:row>
    <x:row r="413" ht="15" hidden="0" customHeight="1">
      <x:c r="A413" s="18" t="str">
        <x:v>PS-S18</x:v>
      </x:c>
      <x:c r="B413" s="18" t="str">
        <x:v>PS-WAR-FATHER</x:v>
      </x:c>
      <x:c r="C413" s="18" t="str">
        <x:v>Father’s everyday clothes and mantle</x:v>
      </x:c>
      <x:c r="D413" s="18" t="str">
        <x:v>Father’s home scenes and continuous reunion.</x:v>
      </x:c>
    </x:row>
    <x:row r="414" ht="15" hidden="0" customHeight="1">
      <x:c r="A414" s="17" t="str">
        <x:v>PS-S18</x:v>
      </x:c>
      <x:c r="B414" s="17" t="str">
        <x:v>PS-WAR-YOUNGERTUNIC</x:v>
      </x:c>
      <x:c r="C414" s="17" t="str">
        <x:v>Younger’s plain tunic</x:v>
      </x:c>
      <x:c r="D414" s="17" t="str">
        <x:v>Core garment through entire younger-son story.</x:v>
      </x:c>
    </x:row>
    <x:row r="415" ht="15" hidden="0" customHeight="1">
      <x:c r="A415" s="18" t="str">
        <x:v>PS-S19</x:v>
      </x:c>
      <x:c r="B415" s="18" t="str">
        <x:v>PS-ANM-CALF</x:v>
      </x:c>
      <x:c r="C415" s="18" t="str">
        <x:v>Fattened calf</x:v>
      </x:c>
      <x:c r="D415" s="18" t="str">
        <x:v>Led out of pen during preparation passage.</x:v>
      </x:c>
    </x:row>
    <x:row r="416" ht="15" hidden="0" customHeight="1">
      <x:c r="A416" s="17" t="str">
        <x:v>PS-S19</x:v>
      </x:c>
      <x:c r="B416" s="17" t="str">
        <x:v>PS-ANM-CATTLE</x:v>
      </x:c>
      <x:c r="C416" s="17" t="str">
        <x:v>Household cattle</x:v>
      </x:c>
      <x:c r="D416" s="17" t="str">
        <x:v>Adjacent pen and Levi’s animal-care context.</x:v>
      </x:c>
    </x:row>
    <x:row r="417" ht="15" hidden="0" customHeight="1">
      <x:c r="A417" s="18" t="str">
        <x:v>PS-S19</x:v>
      </x:c>
      <x:c r="B417" s="18" t="str">
        <x:v>PS-CHR-FATHER</x:v>
      </x:c>
      <x:c r="C417" s="18" t="str">
        <x:v>Father</x:v>
      </x:c>
      <x:c r="D417" s="18" t="str">
        <x:v>Restores son, sends Levi to elder, begins feast.</x:v>
      </x:c>
    </x:row>
    <x:row r="418" ht="15" hidden="0" customHeight="1">
      <x:c r="A418" s="17" t="str">
        <x:v>PS-S19</x:v>
      </x:c>
      <x:c r="B418" s="17" t="str">
        <x:v>PS-CHR-HANNAH</x:v>
      </x:c>
      <x:c r="C418" s="17" t="str">
        <x:v>Hannah, kitchen manager</x:v>
      </x:c>
      <x:c r="D418" s="17" t="str">
        <x:v>Household food and care work.</x:v>
      </x:c>
    </x:row>
    <x:row r="419" ht="15" hidden="0" customHeight="1">
      <x:c r="A419" s="18" t="str">
        <x:v>PS-S19</x:v>
      </x:c>
      <x:c r="B419" s="18" t="str">
        <x:v>PS-CHR-LEVI</x:v>
      </x:c>
      <x:c r="C419" s="18" t="str">
        <x:v>Levi, hired field hand</x:v>
      </x:c>
      <x:c r="D419" s="18" t="str">
        <x:v>Father sends him for elder as household gathers to eat, after preparation montage.</x:v>
      </x:c>
    </x:row>
    <x:row r="420" ht="15" hidden="0" customHeight="1">
      <x:c r="A420" s="17" t="str">
        <x:v>PS-S19</x:v>
      </x:c>
      <x:c r="B420" s="17" t="str">
        <x:v>PS-CHR-MATTAN</x:v>
      </x:c>
      <x:c r="C420" s="17" t="str">
        <x:v>Mattan, steward</x:v>
      </x:c>
      <x:c r="D420" s="17" t="str">
        <x:v>Helps fit robe and ring, with another servant.</x:v>
      </x:c>
    </x:row>
    <x:row r="421" ht="15" hidden="0" customHeight="1">
      <x:c r="A421" s="18" t="str">
        <x:v>PS-S19</x:v>
      </x:c>
      <x:c r="B421" s="18" t="str">
        <x:v>PS-CHR-YOUNGER</x:v>
      </x:c>
      <x:c r="C421" s="18" t="str">
        <x:v>Younger son</x:v>
      </x:c>
      <x:c r="D421" s="18" t="str">
        <x:v>Younger son present in action.</x:v>
      </x:c>
    </x:row>
    <x:row r="422" ht="15" hidden="0" customHeight="1">
      <x:c r="A422" s="17" t="str">
        <x:v>PS-S19</x:v>
      </x:c>
      <x:c r="B422" s="17" t="str">
        <x:v>PS-EXT-FEAST</x:v>
      </x:c>
      <x:c r="C422" s="17" t="str">
        <x:v>Neighbors at homecoming feast</x:v>
      </x:c>
      <x:c r="D422" s="17" t="str">
        <x:v>Prepare, attend and respond to celebration near entrance.</x:v>
      </x:c>
    </x:row>
    <x:row r="423" ht="15" hidden="0" customHeight="1">
      <x:c r="A423" s="18" t="str">
        <x:v>PS-S19</x:v>
      </x:c>
      <x:c r="B423" s="18" t="str">
        <x:v>PS-EXT-HOMEMUS</x:v>
      </x:c>
      <x:c r="C423" s="18" t="str">
        <x:v>Home feast pipe player and drummer</x:v>
      </x:c>
      <x:c r="D423" s="18" t="str">
        <x:v>Provide visible local feast music.</x:v>
      </x:c>
    </x:row>
    <x:row r="424" ht="15" hidden="0" customHeight="1">
      <x:c r="A424" s="17" t="str">
        <x:v>PS-S19</x:v>
      </x:c>
      <x:c r="B424" s="17" t="str">
        <x:v>PS-EXT-HOMEWORKERS</x:v>
      </x:c>
      <x:c r="C424" s="17" t="str">
        <x:v>Household workers and second servant</x:v>
      </x:c>
      <x:c r="D424" s="17" t="str">
        <x:v>Work, eat and prepare household celebration.</x:v>
      </x:c>
    </x:row>
    <x:row r="425" ht="15" hidden="0" customHeight="1">
      <x:c r="A425" s="18" t="str">
        <x:v>PS-S19</x:v>
      </x:c>
      <x:c r="B425" s="18" t="str">
        <x:v>PS-FOD-CALFMEAT</x:v>
      </x:c>
      <x:c r="C425" s="18" t="str">
        <x:v>Cooked calf feast portions</x:v>
      </x:c>
      <x:c r="D425" s="18" t="str">
        <x:v>Homecoming celebration meal.</x:v>
      </x:c>
    </x:row>
    <x:row r="426" ht="15" hidden="0" customHeight="1">
      <x:c r="A426" s="17" t="str">
        <x:v>PS-S19</x:v>
      </x:c>
      <x:c r="B426" s="17" t="str">
        <x:v>PS-FOD-HOMEBREAD</x:v>
      </x:c>
      <x:c r="C426" s="17" t="str">
        <x:v>Home bread</x:v>
      </x:c>
      <x:c r="D426" s="17" t="str">
        <x:v>Bread shared, withheld from oneself, remembered and served.</x:v>
      </x:c>
    </x:row>
    <x:row r="427" ht="15" hidden="0" customHeight="1">
      <x:c r="A427" s="18" t="str">
        <x:v>PS-S19</x:v>
      </x:c>
      <x:c r="B427" s="18" t="str">
        <x:v>PS-FOD-HOMEMEALS</x:v>
      </x:c>
      <x:c r="C427" s="18" t="str">
        <x:v>Lentils, olives and household meals</x:v>
      </x:c>
      <x:c r="D427" s="18" t="str">
        <x:v>Ordinary nourishment and feast accompaniments.</x:v>
      </x:c>
    </x:row>
    <x:row r="428" ht="15" hidden="0" customHeight="1">
      <x:c r="A428" s="17" t="str">
        <x:v>PS-S19</x:v>
      </x:c>
      <x:c r="B428" s="17" t="str">
        <x:v>PS-GRM-FATHERDUST</x:v>
      </x:c>
      <x:c r="C428" s="17" t="str">
        <x:v>Father’s reunion road dust</x:v>
      </x:c>
      <x:c r="D428" s="17" t="str">
        <x:v>Grounded cost of reunion without instant cleanup.</x:v>
      </x:c>
    </x:row>
    <x:row r="429" ht="15" hidden="0" customHeight="1">
      <x:c r="A429" s="18" t="str">
        <x:v>PS-S19</x:v>
      </x:c>
      <x:c r="B429" s="18" t="str">
        <x:v>PS-GRM-YOUNGERRESTORE</x:v>
      </x:c>
      <x:c r="C429" s="18" t="str">
        <x:v>Younger restored but still wasted</x:v>
      </x:c>
      <x:c r="D429" s="18" t="str">
        <x:v>Continuity during feast and elder’s recognition.</x:v>
      </x:c>
    </x:row>
    <x:row r="430" ht="15" hidden="0" customHeight="1">
      <x:c r="A430" s="17" t="str">
        <x:v>PS-S19</x:v>
      </x:c>
      <x:c r="B430" s="17" t="str">
        <x:v>PS-LOC-COURTYARD</x:v>
      </x:c>
      <x:c r="C430" s="17" t="str">
        <x:v>Working family courtyard</x:v>
      </x:c>
      <x:c r="D430" s="17" t="str">
        <x:v>Household arrival, meals, work, care and restoration.</x:v>
      </x:c>
    </x:row>
    <x:row r="431" ht="15" hidden="0" customHeight="1">
      <x:c r="A431" s="18" t="str">
        <x:v>PS-S19</x:v>
      </x:c>
      <x:c r="B431" s="18" t="str">
        <x:v>PS-LOC-ENTRANCE</x:v>
      </x:c>
      <x:c r="C431" s="18" t="str">
        <x:v>Courtyard threshold and road entrance</x:v>
      </x:c>
      <x:c r="D431" s="18" t="str">
        <x:v>Departure, brother conversation, father’s recognition and final refusal/invitation.</x:v>
      </x:c>
    </x:row>
    <x:row r="432" ht="15" hidden="0" customHeight="1">
      <x:c r="A432" s="17" t="str">
        <x:v>PS-S19</x:v>
      </x:c>
      <x:c r="B432" s="17" t="str">
        <x:v>PS-LOC-FEAST</x:v>
      </x:c>
      <x:c r="C432" s="17" t="str">
        <x:v>Courtyard dressed for feast</x:v>
      </x:c>
      <x:c r="D432" s="17" t="str">
        <x:v>Continuous homecoming celebration.</x:v>
      </x:c>
    </x:row>
    <x:row r="433" ht="15" hidden="0" customHeight="1">
      <x:c r="A433" s="18" t="str">
        <x:v>PS-S19</x:v>
      </x:c>
      <x:c r="B433" s="18" t="str">
        <x:v>PS-LOC-HOMESTEAD</x:v>
      </x:c>
      <x:c r="C433" s="18" t="str">
        <x:v>Family farm geography</x:v>
      </x:c>
      <x:c r="D433" s="18" t="str">
        <x:v>Master relationship of road, courtyard entrance, fields and wall.</x:v>
      </x:c>
    </x:row>
    <x:row r="434" ht="15" hidden="0" customHeight="1">
      <x:c r="A434" s="17" t="str">
        <x:v>PS-S19</x:v>
      </x:c>
      <x:c r="B434" s="17" t="str">
        <x:v>PS-LOC-PEN</x:v>
      </x:c>
      <x:c r="C434" s="17" t="str">
        <x:v>Home cattle pen</x:v>
      </x:c>
      <x:c r="D434" s="17" t="str">
        <x:v>Home livestock and preparation of celebration.</x:v>
      </x:c>
    </x:row>
    <x:row r="435" ht="15" hidden="0" customHeight="1">
      <x:c r="A435" s="18" t="str">
        <x:v>PS-S19</x:v>
      </x:c>
      <x:c r="B435" s="18" t="str">
        <x:v>PS-LOC-TERRACE</x:v>
      </x:c>
      <x:c r="C435" s="18" t="str">
        <x:v>Upper terrace and retaining wall</x:v>
      </x:c>
      <x:c r="D435" s="18" t="str">
        <x:v>Levi passes beyond wall while going to find elder.</x:v>
      </x:c>
    </x:row>
    <x:row r="436" ht="15" hidden="0" customHeight="1">
      <x:c r="A436" s="17" t="str">
        <x:v>PS-S19</x:v>
      </x:c>
      <x:c r="B436" s="17" t="str">
        <x:v>PS-PRP-BEDDING</x:v>
      </x:c>
      <x:c r="C436" s="17" t="str">
        <x:v>Younger’s bedding and clothing bundle</x:v>
      </x:c>
      <x:c r="D436" s="17" t="str">
        <x:v>Travel belongings and shelter.</x:v>
      </x:c>
    </x:row>
    <x:row r="437" ht="15" hidden="0" customHeight="1">
      <x:c r="A437" s="18" t="str">
        <x:v>PS-S19</x:v>
      </x:c>
      <x:c r="B437" s="18" t="str">
        <x:v>PS-PRP-BREADCLOTH</x:v>
      </x:c>
      <x:c r="C437" s="18" t="str">
        <x:v>Hannah’s bread wrapping cloth</x:v>
      </x:c>
      <x:c r="D437" s="18" t="str">
        <x:v>Memory object prompting hunger/home realization.</x:v>
      </x:c>
    </x:row>
    <x:row r="438" ht="15" hidden="0" customHeight="1">
      <x:c r="A438" s="17" t="str">
        <x:v>PS-S19</x:v>
      </x:c>
      <x:c r="B438" s="17" t="str">
        <x:v>PS-PRP-HOMEWATERJAR</x:v>
      </x:c>
      <x:c r="C438" s="17" t="str">
        <x:v>Home water jar younger tries to lift</x:v>
      </x:c>
      <x:c r="D438" s="17" t="str">
        <x:v>Restoration sequence reveals remaining physical weakness.</x:v>
      </x:c>
    </x:row>
    <x:row r="439" ht="15" hidden="0" customHeight="1">
      <x:c r="A439" s="18" t="str">
        <x:v>PS-S19</x:v>
      </x:c>
      <x:c r="B439" s="18" t="str">
        <x:v>PS-PRP-PIPEDRUMHOME</x:v>
      </x:c>
      <x:c r="C439" s="18" t="str">
        <x:v>Home feast pipe and hand drum</x:v>
      </x:c>
      <x:c r="D439" s="18" t="str">
        <x:v>Diegetic feast ensemble.</x:v>
      </x:c>
    </x:row>
    <x:row r="440" ht="15" hidden="0" customHeight="1">
      <x:c r="A440" s="17" t="str">
        <x:v>PS-S19</x:v>
      </x:c>
      <x:c r="B440" s="17" t="str">
        <x:v>PS-PRP-RESTORATIONSTOOL</x:v>
      </x:c>
      <x:c r="C440" s="17" t="str">
        <x:v>Low restoration stool</x:v>
      </x:c>
      <x:c r="D440" s="17" t="str">
        <x:v>Younger sits during restoration.</x:v>
      </x:c>
    </x:row>
    <x:row r="441" ht="15" hidden="0" customHeight="1">
      <x:c r="A441" s="18" t="str">
        <x:v>PS-S19</x:v>
      </x:c>
      <x:c r="B441" s="18" t="str">
        <x:v>PS-PRP-RING</x:v>
      </x:c>
      <x:c r="C441" s="18" t="str">
        <x:v>Restoration ring</x:v>
      </x:c>
      <x:c r="D441" s="18" t="str">
        <x:v>Scriptural restoration object.</x:v>
      </x:c>
    </x:row>
    <x:row r="442" ht="15" hidden="0" customHeight="1">
      <x:c r="A442" s="17" t="str">
        <x:v>PS-S19</x:v>
      </x:c>
      <x:c r="B442" s="17" t="str">
        <x:v>PS-PRP-TWOCUPS</x:v>
      </x:c>
      <x:c r="C442" s="17" t="str">
        <x:v>Two cups younger carries</x:v>
      </x:c>
      <x:c r="D442" s="17" t="str">
        <x:v>Younger’s first small useful task on returning.</x:v>
      </x:c>
    </x:row>
    <x:row r="443" ht="15" hidden="0" customHeight="1">
      <x:c r="A443" s="18" t="str">
        <x:v>PS-S19</x:v>
      </x:c>
      <x:c r="B443" s="18" t="str">
        <x:v>PS-PRP-WASHBOWL</x:v>
      </x:c>
      <x:c r="C443" s="18" t="str">
        <x:v>Home washing bowl and water</x:v>
      </x:c>
      <x:c r="D443" s="18" t="str">
        <x:v>Care actions and everyday washing.</x:v>
      </x:c>
    </x:row>
    <x:row r="444" ht="15" hidden="0" customHeight="1">
      <x:c r="A444" s="17" t="str">
        <x:v>PS-S19</x:v>
      </x:c>
      <x:c r="B444" s="17" t="str">
        <x:v>PS-PRP-WATERSKIN</x:v>
      </x:c>
      <x:c r="C444" s="17" t="str">
        <x:v>Elder’s repaired waterskin</x:v>
      </x:c>
      <x:c r="D444" s="17" t="str">
        <x:v>Arrives with returning son’s belongings; keep accessible with bundle, not vanished or replaced.</x:v>
      </x:c>
    </x:row>
    <x:row r="445" ht="15" hidden="0" customHeight="1">
      <x:c r="A445" s="18" t="str">
        <x:v>PS-S19</x:v>
      </x:c>
      <x:c r="B445" s="18" t="str">
        <x:v>PS-SET-COOKING</x:v>
      </x:c>
      <x:c r="C445" s="18" t="str">
        <x:v>Household cooking hearth and equipment</x:v>
      </x:c>
      <x:c r="D445" s="18" t="str">
        <x:v>Kitchen work and preparation-time compression.</x:v>
      </x:c>
    </x:row>
    <x:row r="446" ht="15" hidden="0" customHeight="1">
      <x:c r="A446" s="17" t="str">
        <x:v>PS-S19</x:v>
      </x:c>
      <x:c r="B446" s="17" t="str">
        <x:v>PS-SET-FEASTSEATING</x:v>
      </x:c>
      <x:c r="C446" s="17" t="str">
        <x:v>Neighbors’ additional feast seating</x:v>
      </x:c>
      <x:c r="D446" s="17" t="str">
        <x:v>Homecoming crowd support.</x:v>
      </x:c>
    </x:row>
    <x:row r="447" ht="15" hidden="0" customHeight="1">
      <x:c r="A447" s="18" t="str">
        <x:v>PS-S19</x:v>
      </x:c>
      <x:c r="B447" s="18" t="str">
        <x:v>PS-SET-HOMEAWNING</x:v>
      </x:c>
      <x:c r="C447" s="18" t="str">
        <x:v>Home awning and textile coverings</x:v>
      </x:c>
      <x:c r="D447" s="18" t="str">
        <x:v>Working-yard continuity.</x:v>
      </x:c>
    </x:row>
    <x:row r="448" ht="15" hidden="0" customHeight="1">
      <x:c r="A448" s="17" t="str">
        <x:v>PS-S19</x:v>
      </x:c>
      <x:c r="B448" s="17" t="str">
        <x:v>PS-SET-HOMELAMPS</x:v>
      </x:c>
      <x:c r="C448" s="17" t="str">
        <x:v>Home oil lamps and oil</x:v>
      </x:c>
      <x:c r="D448" s="17" t="str">
        <x:v>Practical interior and feast illumination.</x:v>
      </x:c>
    </x:row>
    <x:row r="449" ht="15" hidden="0" customHeight="1">
      <x:c r="A449" s="18" t="str">
        <x:v>PS-S19</x:v>
      </x:c>
      <x:c r="B449" s="18" t="str">
        <x:v>PS-SET-HOMETABLE</x:v>
      </x:c>
      <x:c r="C449" s="18" t="str">
        <x:v>Home low table and seating</x:v>
      </x:c>
      <x:c r="D449" s="18" t="str">
        <x:v>Meals, request and feast.</x:v>
      </x:c>
    </x:row>
    <x:row r="450" ht="15" hidden="0" customHeight="1">
      <x:c r="A450" s="17" t="str">
        <x:v>PS-S19</x:v>
      </x:c>
      <x:c r="B450" s="17" t="str">
        <x:v>PS-SET-HOMEVESSELS</x:v>
      </x:c>
      <x:c r="C450" s="17" t="str">
        <x:v>Home jars, cups and storage vessels</x:v>
      </x:c>
      <x:c r="D450" s="17" t="str">
        <x:v>Prosperous working household background and handling.</x:v>
      </x:c>
    </x:row>
    <x:row r="451" ht="15" hidden="0" customHeight="1">
      <x:c r="A451" s="18" t="str">
        <x:v>PS-S19</x:v>
      </x:c>
      <x:c r="B451" s="18" t="str">
        <x:v>PS-WAR-BESTROBE</x:v>
      </x:c>
      <x:c r="C451" s="18" t="str">
        <x:v>Best robe at restoration</x:v>
      </x:c>
      <x:c r="D451" s="18" t="str">
        <x:v>Father’s welcome and elder’s view of restored brother.</x:v>
      </x:c>
    </x:row>
    <x:row r="452" ht="15" hidden="0" customHeight="1">
      <x:c r="A452" s="17" t="str">
        <x:v>PS-S19</x:v>
      </x:c>
      <x:c r="B452" s="17" t="str">
        <x:v>PS-WAR-FATHER</x:v>
      </x:c>
      <x:c r="C452" s="17" t="str">
        <x:v>Father’s everyday clothes and mantle</x:v>
      </x:c>
      <x:c r="D452" s="17" t="str">
        <x:v>Father’s home scenes and continuous reunion.</x:v>
      </x:c>
    </x:row>
    <x:row r="453" ht="15" hidden="0" customHeight="1">
      <x:c r="A453" s="18" t="str">
        <x:v>PS-S19</x:v>
      </x:c>
      <x:c r="B453" s="18" t="str">
        <x:v>PS-WAR-HOMEKIT</x:v>
      </x:c>
      <x:c r="C453" s="18" t="str">
        <x:v>Home workers and neighbors’ clothing</x:v>
      </x:c>
      <x:c r="D453" s="18" t="str">
        <x:v>Home supporting cast and feast costume consistency.</x:v>
      </x:c>
    </x:row>
    <x:row r="454" ht="15" hidden="0" customHeight="1">
      <x:c r="A454" s="17" t="str">
        <x:v>PS-S19</x:v>
      </x:c>
      <x:c r="B454" s="17" t="str">
        <x:v>PS-WAR-NEWSANDALS</x:v>
      </x:c>
      <x:c r="C454" s="17" t="str">
        <x:v>New sandals at restoration</x:v>
      </x:c>
      <x:c r="D454" s="17" t="str">
        <x:v>Restoration footwear.</x:v>
      </x:c>
    </x:row>
    <x:row r="455" ht="15" hidden="0" customHeight="1">
      <x:c r="A455" s="18" t="str">
        <x:v>PS-S19</x:v>
      </x:c>
      <x:c r="B455" s="18" t="str">
        <x:v>PS-WAR-YOUNGERTUNIC</x:v>
      </x:c>
      <x:c r="C455" s="18" t="str">
        <x:v>Younger’s plain tunic</x:v>
      </x:c>
      <x:c r="D455" s="18" t="str">
        <x:v>Core garment through entire younger-son story.</x:v>
      </x:c>
    </x:row>
    <x:row r="456" ht="15" hidden="0" customHeight="1">
      <x:c r="A456" s="17" t="str">
        <x:v>PS-S20</x:v>
      </x:c>
      <x:c r="B456" s="17" t="str">
        <x:v>PS-CHR-ELDER</x:v>
      </x:c>
      <x:c r="C456" s="17" t="str">
        <x:v>Elder son</x:v>
      </x:c>
      <x:c r="D456" s="17" t="str">
        <x:v>Elder present in family and field action.</x:v>
      </x:c>
    </x:row>
    <x:row r="457" ht="15" hidden="0" customHeight="1">
      <x:c r="A457" s="18" t="str">
        <x:v>PS-S20</x:v>
      </x:c>
      <x:c r="B457" s="18" t="str">
        <x:v>PS-CHR-FATHER</x:v>
      </x:c>
      <x:c r="C457" s="18" t="str">
        <x:v>Father</x:v>
      </x:c>
      <x:c r="D457" s="18" t="str">
        <x:v>Seen inside bending to hear younger.</x:v>
      </x:c>
    </x:row>
    <x:row r="458" ht="15" hidden="0" customHeight="1">
      <x:c r="A458" s="17" t="str">
        <x:v>PS-S20</x:v>
      </x:c>
      <x:c r="B458" s="17" t="str">
        <x:v>PS-CHR-LEVI</x:v>
      </x:c>
      <x:c r="C458" s="17" t="str">
        <x:v>Levi, hired field hand</x:v>
      </x:c>
      <x:c r="D458" s="17" t="str">
        <x:v>Returns from searching work plots and tells elder brother has come.</x:v>
      </x:c>
    </x:row>
    <x:row r="459" ht="15" hidden="0" customHeight="1">
      <x:c r="A459" s="18" t="str">
        <x:v>PS-S20</x:v>
      </x:c>
      <x:c r="B459" s="18" t="str">
        <x:v>PS-CHR-YOUNGER</x:v>
      </x:c>
      <x:c r="C459" s="18" t="str">
        <x:v>Younger son</x:v>
      </x:c>
      <x:c r="D459" s="18" t="str">
        <x:v>Younger son present in action.</x:v>
      </x:c>
    </x:row>
    <x:row r="460" ht="15" hidden="0" customHeight="1">
      <x:c r="A460" s="17" t="str">
        <x:v>PS-S20</x:v>
      </x:c>
      <x:c r="B460" s="17" t="str">
        <x:v>PS-EXT-FEAST</x:v>
      </x:c>
      <x:c r="C460" s="17" t="str">
        <x:v>Neighbors at homecoming feast</x:v>
      </x:c>
      <x:c r="D460" s="17" t="str">
        <x:v>Prepare, attend and respond to celebration near entrance.</x:v>
      </x:c>
    </x:row>
    <x:row r="461" ht="15" hidden="0" customHeight="1">
      <x:c r="A461" s="18" t="str">
        <x:v>PS-S20</x:v>
      </x:c>
      <x:c r="B461" s="18" t="str">
        <x:v>PS-EXT-HOMEMUS</x:v>
      </x:c>
      <x:c r="C461" s="18" t="str">
        <x:v>Home feast pipe player and drummer</x:v>
      </x:c>
      <x:c r="D461" s="18" t="str">
        <x:v>Provide visible local feast music.</x:v>
      </x:c>
    </x:row>
    <x:row r="462" ht="15" hidden="0" customHeight="1">
      <x:c r="A462" s="17" t="str">
        <x:v>PS-S20</x:v>
      </x:c>
      <x:c r="B462" s="17" t="str">
        <x:v>PS-FOD-CALFMEAT</x:v>
      </x:c>
      <x:c r="C462" s="17" t="str">
        <x:v>Cooked calf feast portions</x:v>
      </x:c>
      <x:c r="D462" s="17" t="str">
        <x:v>Homecoming celebration meal.</x:v>
      </x:c>
    </x:row>
    <x:row r="463" ht="15" hidden="0" customHeight="1">
      <x:c r="A463" s="18" t="str">
        <x:v>PS-S20</x:v>
      </x:c>
      <x:c r="B463" s="18" t="str">
        <x:v>PS-FOD-HOMEBREAD</x:v>
      </x:c>
      <x:c r="C463" s="18" t="str">
        <x:v>Home bread</x:v>
      </x:c>
      <x:c r="D463" s="18" t="str">
        <x:v>Bread shared, withheld from oneself, remembered and served.</x:v>
      </x:c>
    </x:row>
    <x:row r="464" ht="15" hidden="0" customHeight="1">
      <x:c r="A464" s="17" t="str">
        <x:v>PS-S20</x:v>
      </x:c>
      <x:c r="B464" s="17" t="str">
        <x:v>PS-FOD-HOMEMEALS</x:v>
      </x:c>
      <x:c r="C464" s="17" t="str">
        <x:v>Lentils, olives and household meals</x:v>
      </x:c>
      <x:c r="D464" s="17" t="str">
        <x:v>Ordinary nourishment and feast accompaniments.</x:v>
      </x:c>
    </x:row>
    <x:row r="465" ht="15" hidden="0" customHeight="1">
      <x:c r="A465" s="18" t="str">
        <x:v>PS-S20</x:v>
      </x:c>
      <x:c r="B465" s="18" t="str">
        <x:v>PS-GRM-ELDERPALM</x:v>
      </x:c>
      <x:c r="C465" s="18" t="str">
        <x:v>Elder’s left palm wound and scar</x:v>
      </x:c>
      <x:c r="D465" s="18" t="str">
        <x:v>Hand care, concealed overwork and thumb pressing scar.</x:v>
      </x:c>
    </x:row>
    <x:row r="466" ht="15" hidden="0" customHeight="1">
      <x:c r="A466" s="17" t="str">
        <x:v>PS-S20</x:v>
      </x:c>
      <x:c r="B466" s="17" t="str">
        <x:v>PS-GRM-FATHERDUST</x:v>
      </x:c>
      <x:c r="C466" s="17" t="str">
        <x:v>Father’s reunion road dust</x:v>
      </x:c>
      <x:c r="D466" s="17" t="str">
        <x:v>Grounded cost of reunion without instant cleanup.</x:v>
      </x:c>
    </x:row>
    <x:row r="467" ht="15" hidden="0" customHeight="1">
      <x:c r="A467" s="18" t="str">
        <x:v>PS-S20</x:v>
      </x:c>
      <x:c r="B467" s="18" t="str">
        <x:v>PS-GRM-YOUNGERRESTORE</x:v>
      </x:c>
      <x:c r="C467" s="18" t="str">
        <x:v>Younger restored but still wasted</x:v>
      </x:c>
      <x:c r="D467" s="18" t="str">
        <x:v>Continuity during feast and elder’s recognition.</x:v>
      </x:c>
    </x:row>
    <x:row r="468" ht="15" hidden="0" customHeight="1">
      <x:c r="A468" s="17" t="str">
        <x:v>PS-S20</x:v>
      </x:c>
      <x:c r="B468" s="17" t="str">
        <x:v>PS-LOC-ENTRANCE</x:v>
      </x:c>
      <x:c r="C468" s="17" t="str">
        <x:v>Courtyard threshold and road entrance</x:v>
      </x:c>
      <x:c r="D468" s="17" t="str">
        <x:v>Departure, brother conversation, father’s recognition and final refusal/invitation.</x:v>
      </x:c>
    </x:row>
    <x:row r="469" ht="15" hidden="0" customHeight="1">
      <x:c r="A469" s="18" t="str">
        <x:v>PS-S20</x:v>
      </x:c>
      <x:c r="B469" s="18" t="str">
        <x:v>PS-LOC-FEAST</x:v>
      </x:c>
      <x:c r="C469" s="18" t="str">
        <x:v>Courtyard dressed for feast</x:v>
      </x:c>
      <x:c r="D469" s="18" t="str">
        <x:v>Continuous homecoming celebration.</x:v>
      </x:c>
    </x:row>
    <x:row r="470" ht="15" hidden="0" customHeight="1">
      <x:c r="A470" s="17" t="str">
        <x:v>PS-S20</x:v>
      </x:c>
      <x:c r="B470" s="17" t="str">
        <x:v>PS-LOC-HOMESTEAD</x:v>
      </x:c>
      <x:c r="C470" s="17" t="str">
        <x:v>Family farm geography</x:v>
      </x:c>
      <x:c r="D470" s="17" t="str">
        <x:v>Master relationship of road, courtyard entrance, fields and wall.</x:v>
      </x:c>
    </x:row>
    <x:row r="471" ht="15" hidden="0" customHeight="1">
      <x:c r="A471" s="18" t="str">
        <x:v>PS-S20</x:v>
      </x:c>
      <x:c r="B471" s="18" t="str">
        <x:v>PS-LOC-TERRACE</x:v>
      </x:c>
      <x:c r="C471" s="18" t="str">
        <x:v>Upper terrace and retaining wall</x:v>
      </x:c>
      <x:c r="D471" s="18" t="str">
        <x:v>Levi returns by upper field path.</x:v>
      </x:c>
    </x:row>
    <x:row r="472" ht="15" hidden="0" customHeight="1">
      <x:c r="A472" s="17" t="str">
        <x:v>PS-S20</x:v>
      </x:c>
      <x:c r="B472" s="17" t="str">
        <x:v>PS-PRP-ELDERBOWL</x:v>
      </x:c>
      <x:c r="C472" s="17" t="str">
        <x:v>Elder’s food bowl</x:v>
      </x:c>
      <x:c r="D472" s="17" t="str">
        <x:v>Food and unpaid emotional need motif.</x:v>
      </x:c>
    </x:row>
    <x:row r="473" ht="15" hidden="0" customHeight="1">
      <x:c r="A473" s="18" t="str">
        <x:v>PS-S20</x:v>
      </x:c>
      <x:c r="B473" s="18" t="str">
        <x:v>PS-PRP-PIPEDRUMHOME</x:v>
      </x:c>
      <x:c r="C473" s="18" t="str">
        <x:v>Home feast pipe and hand drum</x:v>
      </x:c>
      <x:c r="D473" s="18" t="str">
        <x:v>Diegetic feast ensemble.</x:v>
      </x:c>
    </x:row>
    <x:row r="474" ht="15" hidden="0" customHeight="1">
      <x:c r="A474" s="17" t="str">
        <x:v>PS-S20</x:v>
      </x:c>
      <x:c r="B474" s="17" t="str">
        <x:v>PS-PRP-RING</x:v>
      </x:c>
      <x:c r="C474" s="17" t="str">
        <x:v>Restoration ring</x:v>
      </x:c>
      <x:c r="D474" s="17" t="str">
        <x:v>Scriptural restoration object.</x:v>
      </x:c>
    </x:row>
    <x:row r="475" ht="15" hidden="0" customHeight="1">
      <x:c r="A475" s="18" t="str">
        <x:v>PS-S20</x:v>
      </x:c>
      <x:c r="B475" s="18" t="str">
        <x:v>PS-PRP-TWOCUPS</x:v>
      </x:c>
      <x:c r="C475" s="18" t="str">
        <x:v>Two cups younger carries</x:v>
      </x:c>
      <x:c r="D475" s="18" t="str">
        <x:v>Younger’s first small useful task on returning.</x:v>
      </x:c>
    </x:row>
    <x:row r="476" ht="15" hidden="0" customHeight="1">
      <x:c r="A476" s="17" t="str">
        <x:v>PS-S20</x:v>
      </x:c>
      <x:c r="B476" s="17" t="str">
        <x:v>PS-SET-FEASTSEATING</x:v>
      </x:c>
      <x:c r="C476" s="17" t="str">
        <x:v>Neighbors’ additional feast seating</x:v>
      </x:c>
      <x:c r="D476" s="17" t="str">
        <x:v>Homecoming crowd support.</x:v>
      </x:c>
    </x:row>
    <x:row r="477" ht="15" hidden="0" customHeight="1">
      <x:c r="A477" s="18" t="str">
        <x:v>PS-S20</x:v>
      </x:c>
      <x:c r="B477" s="18" t="str">
        <x:v>PS-SET-HOMELAMPS</x:v>
      </x:c>
      <x:c r="C477" s="18" t="str">
        <x:v>Home oil lamps and oil</x:v>
      </x:c>
      <x:c r="D477" s="18" t="str">
        <x:v>Practical interior and feast illumination.</x:v>
      </x:c>
    </x:row>
    <x:row r="478" ht="15" hidden="0" customHeight="1">
      <x:c r="A478" s="17" t="str">
        <x:v>PS-S20</x:v>
      </x:c>
      <x:c r="B478" s="17" t="str">
        <x:v>PS-SET-HOMETABLE</x:v>
      </x:c>
      <x:c r="C478" s="17" t="str">
        <x:v>Home low table and seating</x:v>
      </x:c>
      <x:c r="D478" s="17" t="str">
        <x:v>Meals, request and feast.</x:v>
      </x:c>
    </x:row>
    <x:row r="479" ht="15" hidden="0" customHeight="1">
      <x:c r="A479" s="18" t="str">
        <x:v>PS-S20</x:v>
      </x:c>
      <x:c r="B479" s="18" t="str">
        <x:v>PS-SET-HOMEVESSELS</x:v>
      </x:c>
      <x:c r="C479" s="18" t="str">
        <x:v>Home jars, cups and storage vessels</x:v>
      </x:c>
      <x:c r="D479" s="18" t="str">
        <x:v>Prosperous working household background and handling.</x:v>
      </x:c>
    </x:row>
    <x:row r="480" ht="15" hidden="0" customHeight="1">
      <x:c r="A480" s="17" t="str">
        <x:v>PS-S20</x:v>
      </x:c>
      <x:c r="B480" s="17" t="str">
        <x:v>PS-WAR-BESTROBE</x:v>
      </x:c>
      <x:c r="C480" s="17" t="str">
        <x:v>Best robe at restoration</x:v>
      </x:c>
      <x:c r="D480" s="17" t="str">
        <x:v>Father’s welcome and elder’s view of restored brother.</x:v>
      </x:c>
    </x:row>
    <x:row r="481" ht="15" hidden="0" customHeight="1">
      <x:c r="A481" s="18" t="str">
        <x:v>PS-S20</x:v>
      </x:c>
      <x:c r="B481" s="18" t="str">
        <x:v>PS-WAR-ELDER</x:v>
      </x:c>
      <x:c r="C481" s="18" t="str">
        <x:v>Elder’s work tunic and sandals</x:v>
      </x:c>
      <x:c r="D481" s="18" t="str">
        <x:v>Elder’s ordinary clothing through unresolved ending.</x:v>
      </x:c>
    </x:row>
    <x:row r="482" ht="15" hidden="0" customHeight="1">
      <x:c r="A482" s="17" t="str">
        <x:v>PS-S20</x:v>
      </x:c>
      <x:c r="B482" s="17" t="str">
        <x:v>PS-WAR-FATHER</x:v>
      </x:c>
      <x:c r="C482" s="17" t="str">
        <x:v>Father’s everyday clothes and mantle</x:v>
      </x:c>
      <x:c r="D482" s="17" t="str">
        <x:v>Father’s home scenes and continuous reunion.</x:v>
      </x:c>
    </x:row>
    <x:row r="483" ht="15" hidden="0" customHeight="1">
      <x:c r="A483" s="18" t="str">
        <x:v>PS-S20</x:v>
      </x:c>
      <x:c r="B483" s="18" t="str">
        <x:v>PS-WAR-HOMEKIT</x:v>
      </x:c>
      <x:c r="C483" s="18" t="str">
        <x:v>Home workers and neighbors’ clothing</x:v>
      </x:c>
      <x:c r="D483" s="18" t="str">
        <x:v>Home supporting cast and feast costume consistency.</x:v>
      </x:c>
    </x:row>
    <x:row r="484" ht="15" hidden="0" customHeight="1">
      <x:c r="A484" s="17" t="str">
        <x:v>PS-S20</x:v>
      </x:c>
      <x:c r="B484" s="17" t="str">
        <x:v>PS-WAR-NEWSANDALS</x:v>
      </x:c>
      <x:c r="C484" s="17" t="str">
        <x:v>New sandals at restoration</x:v>
      </x:c>
      <x:c r="D484" s="17" t="str">
        <x:v>Restoration footwear.</x:v>
      </x:c>
    </x:row>
    <x:row r="485" ht="15" hidden="0" customHeight="1">
      <x:c r="A485" s="18" t="str">
        <x:v>PS-S20</x:v>
      </x:c>
      <x:c r="B485" s="18" t="str">
        <x:v>PS-WAR-OLIVE</x:v>
      </x:c>
      <x:c r="C485" s="18" t="str">
        <x:v>Elder’s olive gift mantle</x:v>
      </x:c>
      <x:c r="D485" s="18" t="str">
        <x:v>Physical continuity of father’s attentive love for elder.</x:v>
      </x:c>
    </x:row>
    <x:row r="486" ht="15" hidden="0" customHeight="1">
      <x:c r="A486" s="17" t="str">
        <x:v>PS-S20</x:v>
      </x:c>
      <x:c r="B486" s="17" t="str">
        <x:v>PS-WAR-YOUNGERTUNIC</x:v>
      </x:c>
      <x:c r="C486" s="17" t="str">
        <x:v>Younger’s plain tunic</x:v>
      </x:c>
      <x:c r="D486" s="17" t="str">
        <x:v>Core garment through entire younger-son story.</x:v>
      </x:c>
    </x:row>
    <x:row r="487" ht="15" hidden="0" customHeight="1">
      <x:c r="A487" s="18" t="str">
        <x:v>PS-S21</x:v>
      </x:c>
      <x:c r="B487" s="18" t="str">
        <x:v>PS-CHR-ELDER</x:v>
      </x:c>
      <x:c r="C487" s="18" t="str">
        <x:v>Elder son</x:v>
      </x:c>
      <x:c r="D487" s="18" t="str">
        <x:v>Elder present in family and field action.</x:v>
      </x:c>
    </x:row>
    <x:row r="488" ht="15" hidden="0" customHeight="1">
      <x:c r="A488" s="17" t="str">
        <x:v>PS-S21</x:v>
      </x:c>
      <x:c r="B488" s="17" t="str">
        <x:v>PS-CHR-FATHER</x:v>
      </x:c>
      <x:c r="C488" s="17" t="str">
        <x:v>Father</x:v>
      </x:c>
      <x:c r="D488" s="17" t="str">
        <x:v>Crosses courtyard and appeals personally to elder.</x:v>
      </x:c>
    </x:row>
    <x:row r="489" ht="15" hidden="0" customHeight="1">
      <x:c r="A489" s="18" t="str">
        <x:v>PS-S21</x:v>
      </x:c>
      <x:c r="B489" s="18" t="str">
        <x:v>PS-CHR-LEVI</x:v>
      </x:c>
      <x:c r="C489" s="18" t="str">
        <x:v>Levi, hired field hand</x:v>
      </x:c>
      <x:c r="D489" s="18" t="str">
        <x:v>Brings elder’s message to father.</x:v>
      </x:c>
    </x:row>
    <x:row r="490" ht="15" hidden="0" customHeight="1">
      <x:c r="A490" s="17" t="str">
        <x:v>PS-S21</x:v>
      </x:c>
      <x:c r="B490" s="17" t="str">
        <x:v>PS-CHR-YOUNGER</x:v>
      </x:c>
      <x:c r="C490" s="17" t="str">
        <x:v>Younger son</x:v>
      </x:c>
      <x:c r="D490" s="17" t="str">
        <x:v>Younger son present in action.</x:v>
      </x:c>
    </x:row>
    <x:row r="491" ht="15" hidden="0" customHeight="1">
      <x:c r="A491" s="18" t="str">
        <x:v>PS-S21</x:v>
      </x:c>
      <x:c r="B491" s="18" t="str">
        <x:v>PS-EXT-FEAST</x:v>
      </x:c>
      <x:c r="C491" s="18" t="str">
        <x:v>Neighbors at homecoming feast</x:v>
      </x:c>
      <x:c r="D491" s="18" t="str">
        <x:v>Prepare, attend and respond to celebration near entrance.</x:v>
      </x:c>
    </x:row>
    <x:row r="492" ht="15" hidden="0" customHeight="1">
      <x:c r="A492" s="17" t="str">
        <x:v>PS-S21</x:v>
      </x:c>
      <x:c r="B492" s="17" t="str">
        <x:v>PS-EXT-HOMEMUS</x:v>
      </x:c>
      <x:c r="C492" s="17" t="str">
        <x:v>Home feast pipe player and drummer</x:v>
      </x:c>
      <x:c r="D492" s="17" t="str">
        <x:v>Provide visible local feast music.</x:v>
      </x:c>
    </x:row>
    <x:row r="493" ht="15" hidden="0" customHeight="1">
      <x:c r="A493" s="18" t="str">
        <x:v>PS-S21</x:v>
      </x:c>
      <x:c r="B493" s="18" t="str">
        <x:v>PS-FOD-CALFMEAT</x:v>
      </x:c>
      <x:c r="C493" s="18" t="str">
        <x:v>Cooked calf feast portions</x:v>
      </x:c>
      <x:c r="D493" s="18" t="str">
        <x:v>Homecoming celebration meal.</x:v>
      </x:c>
    </x:row>
    <x:row r="494" ht="15" hidden="0" customHeight="1">
      <x:c r="A494" s="17" t="str">
        <x:v>PS-S21</x:v>
      </x:c>
      <x:c r="B494" s="17" t="str">
        <x:v>PS-FOD-HOMEBREAD</x:v>
      </x:c>
      <x:c r="C494" s="17" t="str">
        <x:v>Home bread</x:v>
      </x:c>
      <x:c r="D494" s="17" t="str">
        <x:v>Bread shared, withheld from oneself, remembered and served.</x:v>
      </x:c>
    </x:row>
    <x:row r="495" ht="15" hidden="0" customHeight="1">
      <x:c r="A495" s="18" t="str">
        <x:v>PS-S21</x:v>
      </x:c>
      <x:c r="B495" s="18" t="str">
        <x:v>PS-FOD-HOMEMEALS</x:v>
      </x:c>
      <x:c r="C495" s="18" t="str">
        <x:v>Lentils, olives and household meals</x:v>
      </x:c>
      <x:c r="D495" s="18" t="str">
        <x:v>Ordinary nourishment and feast accompaniments.</x:v>
      </x:c>
    </x:row>
    <x:row r="496" ht="15" hidden="0" customHeight="1">
      <x:c r="A496" s="17" t="str">
        <x:v>PS-S21</x:v>
      </x:c>
      <x:c r="B496" s="17" t="str">
        <x:v>PS-GRM-ELDERPALM</x:v>
      </x:c>
      <x:c r="C496" s="17" t="str">
        <x:v>Elder’s left palm wound and scar</x:v>
      </x:c>
      <x:c r="D496" s="17" t="str">
        <x:v>Hand care, concealed overwork and thumb pressing scar.</x:v>
      </x:c>
    </x:row>
    <x:row r="497" ht="15" hidden="0" customHeight="1">
      <x:c r="A497" s="18" t="str">
        <x:v>PS-S21</x:v>
      </x:c>
      <x:c r="B497" s="18" t="str">
        <x:v>PS-GRM-FATHERDUST</x:v>
      </x:c>
      <x:c r="C497" s="18" t="str">
        <x:v>Father’s reunion road dust</x:v>
      </x:c>
      <x:c r="D497" s="18" t="str">
        <x:v>Grounded cost of reunion without instant cleanup.</x:v>
      </x:c>
    </x:row>
    <x:row r="498" ht="15" hidden="0" customHeight="1">
      <x:c r="A498" s="17" t="str">
        <x:v>PS-S21</x:v>
      </x:c>
      <x:c r="B498" s="17" t="str">
        <x:v>PS-GRM-YOUNGERRESTORE</x:v>
      </x:c>
      <x:c r="C498" s="17" t="str">
        <x:v>Younger restored but still wasted</x:v>
      </x:c>
      <x:c r="D498" s="17" t="str">
        <x:v>Continuity during feast and elder’s recognition.</x:v>
      </x:c>
    </x:row>
    <x:row r="499" ht="15" hidden="0" customHeight="1">
      <x:c r="A499" s="18" t="str">
        <x:v>PS-S21</x:v>
      </x:c>
      <x:c r="B499" s="18" t="str">
        <x:v>PS-LOC-ENTRANCE</x:v>
      </x:c>
      <x:c r="C499" s="18" t="str">
        <x:v>Courtyard threshold and road entrance</x:v>
      </x:c>
      <x:c r="D499" s="18" t="str">
        <x:v>Departure, brother conversation, father’s recognition and final refusal/invitation.</x:v>
      </x:c>
    </x:row>
    <x:row r="500" ht="15" hidden="0" customHeight="1">
      <x:c r="A500" s="17" t="str">
        <x:v>PS-S21</x:v>
      </x:c>
      <x:c r="B500" s="17" t="str">
        <x:v>PS-LOC-FEAST</x:v>
      </x:c>
      <x:c r="C500" s="17" t="str">
        <x:v>Courtyard dressed for feast</x:v>
      </x:c>
      <x:c r="D500" s="17" t="str">
        <x:v>Continuous homecoming celebration.</x:v>
      </x:c>
    </x:row>
    <x:row r="501" ht="15" hidden="0" customHeight="1">
      <x:c r="A501" s="18" t="str">
        <x:v>PS-S21</x:v>
      </x:c>
      <x:c r="B501" s="18" t="str">
        <x:v>PS-LOC-HOMESTEAD</x:v>
      </x:c>
      <x:c r="C501" s="18" t="str">
        <x:v>Family farm geography</x:v>
      </x:c>
      <x:c r="D501" s="18" t="str">
        <x:v>Master relationship of road, courtyard entrance, fields and wall.</x:v>
      </x:c>
    </x:row>
    <x:row r="502" ht="15" hidden="0" customHeight="1">
      <x:c r="A502" s="17" t="str">
        <x:v>PS-S21</x:v>
      </x:c>
      <x:c r="B502" s="17" t="str">
        <x:v>PS-PRP-ELDERBOWL</x:v>
      </x:c>
      <x:c r="C502" s="17" t="str">
        <x:v>Elder’s food bowl</x:v>
      </x:c>
      <x:c r="D502" s="17" t="str">
        <x:v>Food and unpaid emotional need motif.</x:v>
      </x:c>
    </x:row>
    <x:row r="503" ht="15" hidden="0" customHeight="1">
      <x:c r="A503" s="18" t="str">
        <x:v>PS-S21</x:v>
      </x:c>
      <x:c r="B503" s="18" t="str">
        <x:v>PS-PRP-PIPEDRUMHOME</x:v>
      </x:c>
      <x:c r="C503" s="18" t="str">
        <x:v>Home feast pipe and hand drum</x:v>
      </x:c>
      <x:c r="D503" s="18" t="str">
        <x:v>Diegetic feast ensemble.</x:v>
      </x:c>
    </x:row>
    <x:row r="504" ht="15" hidden="0" customHeight="1">
      <x:c r="A504" s="17" t="str">
        <x:v>PS-S21</x:v>
      </x:c>
      <x:c r="B504" s="17" t="str">
        <x:v>PS-PRP-RING</x:v>
      </x:c>
      <x:c r="C504" s="17" t="str">
        <x:v>Restoration ring</x:v>
      </x:c>
      <x:c r="D504" s="17" t="str">
        <x:v>Scriptural restoration object.</x:v>
      </x:c>
    </x:row>
    <x:row r="505" ht="15" hidden="0" customHeight="1">
      <x:c r="A505" s="18" t="str">
        <x:v>PS-S21</x:v>
      </x:c>
      <x:c r="B505" s="18" t="str">
        <x:v>PS-PRP-TWOCUPS</x:v>
      </x:c>
      <x:c r="C505" s="18" t="str">
        <x:v>Two cups younger carries</x:v>
      </x:c>
      <x:c r="D505" s="18" t="str">
        <x:v>Younger’s first small useful task on returning.</x:v>
      </x:c>
    </x:row>
    <x:row r="506" ht="15" hidden="0" customHeight="1">
      <x:c r="A506" s="17" t="str">
        <x:v>PS-S21</x:v>
      </x:c>
      <x:c r="B506" s="17" t="str">
        <x:v>PS-SET-FEASTSEATING</x:v>
      </x:c>
      <x:c r="C506" s="17" t="str">
        <x:v>Neighbors’ additional feast seating</x:v>
      </x:c>
      <x:c r="D506" s="17" t="str">
        <x:v>Homecoming crowd support.</x:v>
      </x:c>
    </x:row>
    <x:row r="507" ht="15" hidden="0" customHeight="1">
      <x:c r="A507" s="18" t="str">
        <x:v>PS-S21</x:v>
      </x:c>
      <x:c r="B507" s="18" t="str">
        <x:v>PS-SET-HOMELAMPS</x:v>
      </x:c>
      <x:c r="C507" s="18" t="str">
        <x:v>Home oil lamps and oil</x:v>
      </x:c>
      <x:c r="D507" s="18" t="str">
        <x:v>Practical interior and feast illumination.</x:v>
      </x:c>
    </x:row>
    <x:row r="508" ht="15" hidden="0" customHeight="1">
      <x:c r="A508" s="17" t="str">
        <x:v>PS-S21</x:v>
      </x:c>
      <x:c r="B508" s="17" t="str">
        <x:v>PS-SET-HOMETABLE</x:v>
      </x:c>
      <x:c r="C508" s="17" t="str">
        <x:v>Home low table and seating</x:v>
      </x:c>
      <x:c r="D508" s="17" t="str">
        <x:v>Meals, request and feast.</x:v>
      </x:c>
    </x:row>
    <x:row r="509" ht="15" hidden="0" customHeight="1">
      <x:c r="A509" s="18" t="str">
        <x:v>PS-S21</x:v>
      </x:c>
      <x:c r="B509" s="18" t="str">
        <x:v>PS-SET-HOMEVESSELS</x:v>
      </x:c>
      <x:c r="C509" s="18" t="str">
        <x:v>Home jars, cups and storage vessels</x:v>
      </x:c>
      <x:c r="D509" s="18" t="str">
        <x:v>Prosperous working household background and handling.</x:v>
      </x:c>
    </x:row>
    <x:row r="510" ht="15" hidden="0" customHeight="1">
      <x:c r="A510" s="17" t="str">
        <x:v>PS-S21</x:v>
      </x:c>
      <x:c r="B510" s="17" t="str">
        <x:v>PS-WAR-BESTROBE</x:v>
      </x:c>
      <x:c r="C510" s="17" t="str">
        <x:v>Best robe at restoration</x:v>
      </x:c>
      <x:c r="D510" s="17" t="str">
        <x:v>Father’s welcome and elder’s view of restored brother.</x:v>
      </x:c>
    </x:row>
    <x:row r="511" ht="15" hidden="0" customHeight="1">
      <x:c r="A511" s="18" t="str">
        <x:v>PS-S21</x:v>
      </x:c>
      <x:c r="B511" s="18" t="str">
        <x:v>PS-WAR-ELDER</x:v>
      </x:c>
      <x:c r="C511" s="18" t="str">
        <x:v>Elder’s work tunic and sandals</x:v>
      </x:c>
      <x:c r="D511" s="18" t="str">
        <x:v>Elder’s ordinary clothing through unresolved ending.</x:v>
      </x:c>
    </x:row>
    <x:row r="512" ht="15" hidden="0" customHeight="1">
      <x:c r="A512" s="17" t="str">
        <x:v>PS-S21</x:v>
      </x:c>
      <x:c r="B512" s="17" t="str">
        <x:v>PS-WAR-FATHER</x:v>
      </x:c>
      <x:c r="C512" s="17" t="str">
        <x:v>Father’s everyday clothes and mantle</x:v>
      </x:c>
      <x:c r="D512" s="17" t="str">
        <x:v>Father’s home scenes and continuous reunion.</x:v>
      </x:c>
    </x:row>
    <x:row r="513" ht="15" hidden="0" customHeight="1">
      <x:c r="A513" s="18" t="str">
        <x:v>PS-S21</x:v>
      </x:c>
      <x:c r="B513" s="18" t="str">
        <x:v>PS-WAR-HOMEKIT</x:v>
      </x:c>
      <x:c r="C513" s="18" t="str">
        <x:v>Home workers and neighbors’ clothing</x:v>
      </x:c>
      <x:c r="D513" s="18" t="str">
        <x:v>Home supporting cast and feast costume consistency.</x:v>
      </x:c>
    </x:row>
    <x:row r="514" ht="15" hidden="0" customHeight="1">
      <x:c r="A514" s="17" t="str">
        <x:v>PS-S21</x:v>
      </x:c>
      <x:c r="B514" s="17" t="str">
        <x:v>PS-WAR-NEWSANDALS</x:v>
      </x:c>
      <x:c r="C514" s="17" t="str">
        <x:v>New sandals at restoration</x:v>
      </x:c>
      <x:c r="D514" s="17" t="str">
        <x:v>Restoration footwear.</x:v>
      </x:c>
    </x:row>
    <x:row r="515" ht="15" hidden="0" customHeight="1">
      <x:c r="A515" s="18" t="str">
        <x:v>PS-S21</x:v>
      </x:c>
      <x:c r="B515" s="18" t="str">
        <x:v>PS-WAR-OLIVE</x:v>
      </x:c>
      <x:c r="C515" s="18" t="str">
        <x:v>Elder’s olive gift mantle</x:v>
      </x:c>
      <x:c r="D515" s="18" t="str">
        <x:v>Physical continuity of father’s attentive love for elder.</x:v>
      </x:c>
    </x:row>
    <x:row r="516" ht="15" hidden="0" customHeight="1">
      <x:c r="A516" s="17" t="str">
        <x:v>PS-S21</x:v>
      </x:c>
      <x:c r="B516" s="17" t="str">
        <x:v>PS-WAR-YOUNGERTUNIC</x:v>
      </x:c>
      <x:c r="C516" s="17" t="str">
        <x:v>Younger’s plain tunic</x:v>
      </x:c>
      <x:c r="D516" s="17" t="str">
        <x:v>Core garment through entire younger-son story.</x:v>
      </x:c>
    </x:row>
    <x:row r="517" ht="15" hidden="0" customHeight="1">
      <x:c r="A517" s="18" t="str">
        <x:v>PS-S22</x:v>
      </x:c>
      <x:c r="B517" s="18" t="str">
        <x:v>PS-CHR-ELDER</x:v>
      </x:c>
      <x:c r="C517" s="18" t="str">
        <x:v>Elder son</x:v>
      </x:c>
      <x:c r="D517" s="18" t="str">
        <x:v>Elder present in family and field action.</x:v>
      </x:c>
    </x:row>
    <x:row r="518" ht="15" hidden="0" customHeight="1">
      <x:c r="A518" s="17" t="str">
        <x:v>PS-S22</x:v>
      </x:c>
      <x:c r="B518" s="17" t="str">
        <x:v>PS-CHR-FATHER</x:v>
      </x:c>
      <x:c r="C518" s="17" t="str">
        <x:v>Father</x:v>
      </x:c>
      <x:c r="D518" s="17" t="str">
        <x:v>Stays beside elder and leaves doorway clear.</x:v>
      </x:c>
    </x:row>
    <x:row r="519" ht="15" hidden="0" customHeight="1">
      <x:c r="A519" s="18" t="str">
        <x:v>PS-S22</x:v>
      </x:c>
      <x:c r="B519" s="18" t="str">
        <x:v>PS-CHR-YOUNGER</x:v>
      </x:c>
      <x:c r="C519" s="18" t="str">
        <x:v>Younger son</x:v>
      </x:c>
      <x:c r="D519" s="18" t="str">
        <x:v>Younger son present in action.</x:v>
      </x:c>
    </x:row>
    <x:row r="520" ht="15" hidden="0" customHeight="1">
      <x:c r="A520" s="17" t="str">
        <x:v>PS-S22</x:v>
      </x:c>
      <x:c r="B520" s="17" t="str">
        <x:v>PS-EXT-FEAST</x:v>
      </x:c>
      <x:c r="C520" s="17" t="str">
        <x:v>Neighbors at homecoming feast</x:v>
      </x:c>
      <x:c r="D520" s="17" t="str">
        <x:v>Prepare, attend and respond to celebration near entrance.</x:v>
      </x:c>
    </x:row>
    <x:row r="521" ht="15" hidden="0" customHeight="1">
      <x:c r="A521" s="18" t="str">
        <x:v>PS-S22</x:v>
      </x:c>
      <x:c r="B521" s="18" t="str">
        <x:v>PS-EXT-HOMEMUS</x:v>
      </x:c>
      <x:c r="C521" s="18" t="str">
        <x:v>Home feast pipe player and drummer</x:v>
      </x:c>
      <x:c r="D521" s="18" t="str">
        <x:v>Provide visible local feast music.</x:v>
      </x:c>
    </x:row>
    <x:row r="522" ht="15" hidden="0" customHeight="1">
      <x:c r="A522" s="17" t="str">
        <x:v>PS-S22</x:v>
      </x:c>
      <x:c r="B522" s="17" t="str">
        <x:v>PS-FOD-CALFMEAT</x:v>
      </x:c>
      <x:c r="C522" s="17" t="str">
        <x:v>Cooked calf feast portions</x:v>
      </x:c>
      <x:c r="D522" s="17" t="str">
        <x:v>Homecoming celebration meal.</x:v>
      </x:c>
    </x:row>
    <x:row r="523" ht="15" hidden="0" customHeight="1">
      <x:c r="A523" s="18" t="str">
        <x:v>PS-S22</x:v>
      </x:c>
      <x:c r="B523" s="18" t="str">
        <x:v>PS-FOD-HOMEBREAD</x:v>
      </x:c>
      <x:c r="C523" s="18" t="str">
        <x:v>Home bread</x:v>
      </x:c>
      <x:c r="D523" s="18" t="str">
        <x:v>Bread shared, withheld from oneself, remembered and served.</x:v>
      </x:c>
    </x:row>
    <x:row r="524" ht="15" hidden="0" customHeight="1">
      <x:c r="A524" s="17" t="str">
        <x:v>PS-S22</x:v>
      </x:c>
      <x:c r="B524" s="17" t="str">
        <x:v>PS-FOD-HOMEMEALS</x:v>
      </x:c>
      <x:c r="C524" s="17" t="str">
        <x:v>Lentils, olives and household meals</x:v>
      </x:c>
      <x:c r="D524" s="17" t="str">
        <x:v>Ordinary nourishment and feast accompaniments.</x:v>
      </x:c>
    </x:row>
    <x:row r="525" ht="15" hidden="0" customHeight="1">
      <x:c r="A525" s="18" t="str">
        <x:v>PS-S22</x:v>
      </x:c>
      <x:c r="B525" s="18" t="str">
        <x:v>PS-GRM-ELDERPALM</x:v>
      </x:c>
      <x:c r="C525" s="18" t="str">
        <x:v>Elder’s left palm wound and scar</x:v>
      </x:c>
      <x:c r="D525" s="18" t="str">
        <x:v>Hand care, concealed overwork and thumb pressing scar.</x:v>
      </x:c>
    </x:row>
    <x:row r="526" ht="15" hidden="0" customHeight="1">
      <x:c r="A526" s="17" t="str">
        <x:v>PS-S22</x:v>
      </x:c>
      <x:c r="B526" s="17" t="str">
        <x:v>PS-GRM-FATHERDUST</x:v>
      </x:c>
      <x:c r="C526" s="17" t="str">
        <x:v>Father’s reunion road dust</x:v>
      </x:c>
      <x:c r="D526" s="17" t="str">
        <x:v>Grounded cost of reunion without instant cleanup.</x:v>
      </x:c>
    </x:row>
    <x:row r="527" ht="15" hidden="0" customHeight="1">
      <x:c r="A527" s="18" t="str">
        <x:v>PS-S22</x:v>
      </x:c>
      <x:c r="B527" s="18" t="str">
        <x:v>PS-GRM-YOUNGERRESTORE</x:v>
      </x:c>
      <x:c r="C527" s="18" t="str">
        <x:v>Younger restored but still wasted</x:v>
      </x:c>
      <x:c r="D527" s="18" t="str">
        <x:v>Continuity during feast and elder’s recognition.</x:v>
      </x:c>
    </x:row>
    <x:row r="528" ht="15" hidden="0" customHeight="1">
      <x:c r="A528" s="17" t="str">
        <x:v>PS-S22</x:v>
      </x:c>
      <x:c r="B528" s="17" t="str">
        <x:v>PS-LOC-ENTRANCE</x:v>
      </x:c>
      <x:c r="C528" s="17" t="str">
        <x:v>Courtyard threshold and road entrance</x:v>
      </x:c>
      <x:c r="D528" s="17" t="str">
        <x:v>Departure, brother conversation, father’s recognition and final refusal/invitation.</x:v>
      </x:c>
    </x:row>
    <x:row r="529" ht="15" hidden="0" customHeight="1">
      <x:c r="A529" s="18" t="str">
        <x:v>PS-S22</x:v>
      </x:c>
      <x:c r="B529" s="18" t="str">
        <x:v>PS-LOC-FEAST</x:v>
      </x:c>
      <x:c r="C529" s="18" t="str">
        <x:v>Courtyard dressed for feast</x:v>
      </x:c>
      <x:c r="D529" s="18" t="str">
        <x:v>Continuous homecoming celebration.</x:v>
      </x:c>
    </x:row>
    <x:row r="530" ht="15" hidden="0" customHeight="1">
      <x:c r="A530" s="17" t="str">
        <x:v>PS-S22</x:v>
      </x:c>
      <x:c r="B530" s="17" t="str">
        <x:v>PS-LOC-HOMESTEAD</x:v>
      </x:c>
      <x:c r="C530" s="17" t="str">
        <x:v>Family farm geography</x:v>
      </x:c>
      <x:c r="D530" s="17" t="str">
        <x:v>Master relationship of road, courtyard entrance, fields and wall.</x:v>
      </x:c>
    </x:row>
    <x:row r="531" ht="15" hidden="0" customHeight="1">
      <x:c r="A531" s="18" t="str">
        <x:v>PS-S22</x:v>
      </x:c>
      <x:c r="B531" s="18" t="str">
        <x:v>PS-PRP-PIPEDRUMHOME</x:v>
      </x:c>
      <x:c r="C531" s="18" t="str">
        <x:v>Home feast pipe and hand drum</x:v>
      </x:c>
      <x:c r="D531" s="18" t="str">
        <x:v>Diegetic feast ensemble.</x:v>
      </x:c>
    </x:row>
    <x:row r="532" ht="15" hidden="0" customHeight="1">
      <x:c r="A532" s="17" t="str">
        <x:v>PS-S22</x:v>
      </x:c>
      <x:c r="B532" s="17" t="str">
        <x:v>PS-PRP-RING</x:v>
      </x:c>
      <x:c r="C532" s="17" t="str">
        <x:v>Restoration ring</x:v>
      </x:c>
      <x:c r="D532" s="17" t="str">
        <x:v>Scriptural restoration object.</x:v>
      </x:c>
    </x:row>
    <x:row r="533" ht="15" hidden="0" customHeight="1">
      <x:c r="A533" s="18" t="str">
        <x:v>PS-S22</x:v>
      </x:c>
      <x:c r="B533" s="18" t="str">
        <x:v>PS-PRP-TWOCUPS</x:v>
      </x:c>
      <x:c r="C533" s="18" t="str">
        <x:v>Two cups younger carries</x:v>
      </x:c>
      <x:c r="D533" s="18" t="str">
        <x:v>Younger’s first small useful task on returning.</x:v>
      </x:c>
    </x:row>
    <x:row r="534" ht="15" hidden="0" customHeight="1">
      <x:c r="A534" s="17" t="str">
        <x:v>PS-S22</x:v>
      </x:c>
      <x:c r="B534" s="17" t="str">
        <x:v>PS-SET-FEASTSEATING</x:v>
      </x:c>
      <x:c r="C534" s="17" t="str">
        <x:v>Neighbors’ additional feast seating</x:v>
      </x:c>
      <x:c r="D534" s="17" t="str">
        <x:v>Homecoming crowd support.</x:v>
      </x:c>
    </x:row>
    <x:row r="535" ht="15" hidden="0" customHeight="1">
      <x:c r="A535" s="18" t="str">
        <x:v>PS-S22</x:v>
      </x:c>
      <x:c r="B535" s="18" t="str">
        <x:v>PS-SET-HOMELAMPS</x:v>
      </x:c>
      <x:c r="C535" s="18" t="str">
        <x:v>Home oil lamps and oil</x:v>
      </x:c>
      <x:c r="D535" s="18" t="str">
        <x:v>Practical interior and feast illumination.</x:v>
      </x:c>
    </x:row>
    <x:row r="536" ht="15" hidden="0" customHeight="1">
      <x:c r="A536" s="17" t="str">
        <x:v>PS-S22</x:v>
      </x:c>
      <x:c r="B536" s="17" t="str">
        <x:v>PS-SET-HOMETABLE</x:v>
      </x:c>
      <x:c r="C536" s="17" t="str">
        <x:v>Home low table and seating</x:v>
      </x:c>
      <x:c r="D536" s="17" t="str">
        <x:v>Meals, request and feast.</x:v>
      </x:c>
    </x:row>
    <x:row r="537" ht="15" hidden="0" customHeight="1">
      <x:c r="A537" s="18" t="str">
        <x:v>PS-S22</x:v>
      </x:c>
      <x:c r="B537" s="18" t="str">
        <x:v>PS-SET-HOMEVESSELS</x:v>
      </x:c>
      <x:c r="C537" s="18" t="str">
        <x:v>Home jars, cups and storage vessels</x:v>
      </x:c>
      <x:c r="D537" s="18" t="str">
        <x:v>Prosperous working household background and handling.</x:v>
      </x:c>
    </x:row>
    <x:row r="538" ht="15" hidden="0" customHeight="1">
      <x:c r="A538" s="17" t="str">
        <x:v>PS-S22</x:v>
      </x:c>
      <x:c r="B538" s="17" t="str">
        <x:v>PS-WAR-BESTROBE</x:v>
      </x:c>
      <x:c r="C538" s="17" t="str">
        <x:v>Best robe at restoration</x:v>
      </x:c>
      <x:c r="D538" s="17" t="str">
        <x:v>Father’s welcome and elder’s view of restored brother.</x:v>
      </x:c>
    </x:row>
    <x:row r="539" ht="15" hidden="0" customHeight="1">
      <x:c r="A539" s="18" t="str">
        <x:v>PS-S22</x:v>
      </x:c>
      <x:c r="B539" s="18" t="str">
        <x:v>PS-WAR-ELDER</x:v>
      </x:c>
      <x:c r="C539" s="18" t="str">
        <x:v>Elder’s work tunic and sandals</x:v>
      </x:c>
      <x:c r="D539" s="18" t="str">
        <x:v>Elder’s ordinary clothing through unresolved ending.</x:v>
      </x:c>
    </x:row>
    <x:row r="540" ht="15" hidden="0" customHeight="1">
      <x:c r="A540" s="17" t="str">
        <x:v>PS-S22</x:v>
      </x:c>
      <x:c r="B540" s="17" t="str">
        <x:v>PS-WAR-FATHER</x:v>
      </x:c>
      <x:c r="C540" s="17" t="str">
        <x:v>Father’s everyday clothes and mantle</x:v>
      </x:c>
      <x:c r="D540" s="17" t="str">
        <x:v>Father’s home scenes and continuous reunion.</x:v>
      </x:c>
    </x:row>
    <x:row r="541" ht="15" hidden="0" customHeight="1">
      <x:c r="A541" s="18" t="str">
        <x:v>PS-S22</x:v>
      </x:c>
      <x:c r="B541" s="18" t="str">
        <x:v>PS-WAR-HOMEKIT</x:v>
      </x:c>
      <x:c r="C541" s="18" t="str">
        <x:v>Home workers and neighbors’ clothing</x:v>
      </x:c>
      <x:c r="D541" s="18" t="str">
        <x:v>Home supporting cast and feast costume consistency.</x:v>
      </x:c>
    </x:row>
    <x:row r="542" ht="15" hidden="0" customHeight="1">
      <x:c r="A542" s="17" t="str">
        <x:v>PS-S22</x:v>
      </x:c>
      <x:c r="B542" s="17" t="str">
        <x:v>PS-WAR-NEWSANDALS</x:v>
      </x:c>
      <x:c r="C542" s="17" t="str">
        <x:v>New sandals at restoration</x:v>
      </x:c>
      <x:c r="D542" s="17" t="str">
        <x:v>Restoration footwear.</x:v>
      </x:c>
    </x:row>
    <x:row r="543" ht="15" hidden="0" customHeight="1">
      <x:c r="A543" s="18" t="str">
        <x:v>PS-S22</x:v>
      </x:c>
      <x:c r="B543" s="18" t="str">
        <x:v>PS-WAR-OLIVE</x:v>
      </x:c>
      <x:c r="C543" s="18" t="str">
        <x:v>Elder’s olive gift mantle</x:v>
      </x:c>
      <x:c r="D543" s="18" t="str">
        <x:v>Physical continuity of father’s attentive love for elder.</x:v>
      </x:c>
    </x:row>
    <x:row r="544" ht="15" hidden="0" customHeight="1">
      <x:c r="A544" s="17" t="str">
        <x:v>PS-S22</x:v>
      </x:c>
      <x:c r="B544" s="17" t="str">
        <x:v>PS-WAR-YOUNGERTUNIC</x:v>
      </x:c>
      <x:c r="C544" s="17" t="str">
        <x:v>Younger’s plain tunic</x:v>
      </x:c>
      <x:c r="D544" s="17" t="str">
        <x:v>Core garment through entire younger-son story.</x:v>
      </x:c>
    </x:row>
    <x:row r="545" ht="15" hidden="0" customHeight="1">
      <x:c r="A545" s="18" t="str">
        <x:v>PS-S23</x:v>
      </x:c>
      <x:c r="B545" s="18" t="str">
        <x:v>PS-GFX-CREDITS</x:v>
      </x:c>
      <x:c r="C545" s="18" t="str">
        <x:v>End credits over black</x:v>
      </x:c>
      <x:c r="D545" s="18" t="str">
        <x:v>End-credit typography; no new visual location.</x:v>
      </x:c>
    </x:row>
  </x:sheetData>
  <x:pageMargins left="0.7" right="0.7" top="0.75" bottom="0.75" header="0.3" footer="0.3"/>
  <x:tableParts count="1">
    <x:tablePart xmlns:r="http://schemas.openxmlformats.org/officeDocument/2006/relationships" r:id="R6b7d2df58e69486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9" hidden="0" customWidth="1"/>
    <x:col min="2" max="2" width="32" hidden="0" customWidth="1"/>
    <x:col min="3" max="3" width="36" hidden="0" customWidth="1"/>
    <x:col min="4" max="4" width="72" hidden="0" customWidth="1"/>
    <x:col min="5" max="5" width="65" hidden="0" customWidth="1"/>
    <x:col min="6" max="6" width="65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Continuity Register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2" t="str">
        <x:v>Use with the canonical asset references before selecting first and last frames.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2" customHeight="1">
      <x:c r="A6" s="13" t="str">
        <x:v>Continuity ID</x:v>
      </x:c>
      <x:c r="B6" s="14" t="str">
        <x:v>Asset or family</x:v>
      </x:c>
      <x:c r="C6" s="14" t="str">
        <x:v>Scene uses</x:v>
      </x:c>
      <x:c r="D6" s="14" t="str">
        <x:v>Required state</x:v>
      </x:c>
      <x:c r="E6" s="14" t="str">
        <x:v>Transition or reset</x:v>
      </x:c>
      <x:c r="F6" s="15" t="str">
        <x:v>Keep constant</x:v>
      </x:c>
    </x:row>
    <x:row r="7" ht="36" hidden="0" customHeight="1">
      <x:c r="A7" s="18" t="str">
        <x:v>PS-CONT-01</x:v>
      </x:c>
      <x:c r="B7" s="18" t="str">
        <x:v>PS-CHR-YOUNGER</x:v>
      </x:c>
      <x:c r="C7" s="18" t="str">
        <x:v>PS-S02, PS-S03, PS-S04, PS-S05, PS-S06, PS-S07, PS-S08, PS-S09, PS-S10, PS-S12, PS-S13, PS-S15, PS-S17, PS-S18, PS-S19, PS-S20, PS-S21, PS-S22</x:v>
      </x:c>
      <x:c r="D7" s="18" t="str">
        <x:v>Same twenty-two-year-old man; healthy through early abroad, increasingly wasted through famine.</x:v>
      </x:c>
      <x:c r="E7" s="18" t="str">
        <x:v>S19 changes clothing and washes feet only; thin neck, weakness and restlessness remain.</x:v>
      </x:c>
      <x:c r="F7" s="18" t="str">
        <x:v>Face, brown hair identity, skeletal proportions, height and defining features.</x:v>
      </x:c>
    </x:row>
    <x:row r="8" ht="36" hidden="0" customHeight="1">
      <x:c r="A8" s="17" t="str">
        <x:v>PS-CONT-02</x:v>
      </x:c>
      <x:c r="B8" s="17" t="str">
        <x:v>PS-CHR-ELDER</x:v>
      </x:c>
      <x:c r="C8" s="17" t="str">
        <x:v>PS-S02, PS-S03, PS-S04, PS-S05, PS-S06, PS-S07, PS-S11, PS-S14, PS-S15, PS-S16, PS-S20, PS-S21, PS-S22</x:v>
      </x:c>
      <x:c r="D8" s="17" t="str">
        <x:v>Same composed brown-haired twenty-nine-year-old, with growing strain.</x:v>
      </x:c>
      <x:c r="E8" s="17" t="str">
        <x:v>S15 memory returns to S2 physical/wardrobe state.</x:v>
      </x:c>
      <x:c r="F8" s="17" t="str">
        <x:v>Identity, physique, left-hand wound side, work manner.</x:v>
      </x:c>
    </x:row>
    <x:row r="9" ht="24" hidden="0" customHeight="1">
      <x:c r="A9" s="18" t="str">
        <x:v>PS-CONT-03</x:v>
      </x:c>
      <x:c r="B9" s="18" t="str">
        <x:v>PS-WAR-RUSSET</x:v>
      </x:c>
      <x:c r="C9" s="18" t="str">
        <x:v>PS-S03, PS-S04, PS-S05, PS-S06, PS-S07, PS-S08, PS-S09, PS-S10, PS-S12</x:v>
      </x:c>
      <x:c r="D9" s="18" t="str">
        <x:v>Russet fine wool gift, worn then hung at lodging.</x:v>
      </x:c>
      <x:c r="E9" s="18" t="str">
        <x:v>Removed from peg and sold S12; never returns with younger.</x:v>
      </x:c>
      <x:c r="F9" s="18" t="str">
        <x:v>Same edge, weave, color and equal quality to olive mantle.</x:v>
      </x:c>
    </x:row>
    <x:row r="10" ht="15" hidden="0" customHeight="1">
      <x:c r="A10" s="17" t="str">
        <x:v>PS-CONT-04</x:v>
      </x:c>
      <x:c r="B10" s="17" t="str">
        <x:v>PS-WAR-OLIVE</x:v>
      </x:c>
      <x:c r="C10" s="17" t="str">
        <x:v>PS-S03, PS-S11, PS-S16, PS-S20, PS-S21, PS-S22</x:v>
      </x:c>
      <x:c r="D10" s="17" t="str">
        <x:v>Olive mantle folded at gift, worn at S11 meal, delivered again S16 and held at homecoming.</x:v>
      </x:c>
      <x:c r="E10" s="17" t="str">
        <x:v>S20 over arm; S21 pressed to mouth then held; S22 grip loosens.</x:v>
      </x:c>
      <x:c r="F10" s="17" t="str">
        <x:v>Same mantle, color and quality throughout; no substitute robe.</x:v>
      </x:c>
    </x:row>
    <x:row r="11" ht="24" hidden="0" customHeight="1">
      <x:c r="A11" s="18" t="str">
        <x:v>PS-CONT-05</x:v>
      </x:c>
      <x:c r="B11" s="18" t="str">
        <x:v>PS-WAR-BLUE</x:v>
      </x:c>
      <x:c r="C11" s="18" t="str">
        <x:v>PS-S09, PS-S10, PS-S12, PS-S13, PS-S15, PS-S17</x:v>
      </x:c>
      <x:c r="D11" s="18" t="str">
        <x:v>Light purchased mantle with narrow blue border.</x:v>
      </x:c>
      <x:c r="E11" s="18" t="str">
        <x:v>Selected S9; wine-stained S10; deteriorates; bread seller refuses S13; hangs at lean-to S15; exchanged for food early S17.</x:v>
      </x:c>
      <x:c r="F11" s="18" t="str">
        <x:v>Never present after exchange or under best robe.</x:v>
      </x:c>
    </x:row>
    <x:row r="12" ht="24" hidden="0" customHeight="1">
      <x:c r="A12" s="17" t="str">
        <x:v>PS-CONT-06</x:v>
      </x:c>
      <x:c r="B12" s="17" t="str">
        <x:v>PS-WAR-YOUNGERSANDAL</x:v>
      </x:c>
      <x:c r="C12" s="17" t="str">
        <x:v>PS-S02, PS-S07, PS-S08, PS-S09, PS-S10, PS-S12, PS-S13, PS-S15, PS-S17, PS-S18, PS-S19</x:v>
      </x:c>
      <x:c r="D12" s="17" t="str">
        <x:v>Original pair wears progressively.</x:v>
      </x:c>
      <x:c r="E12" s="17" t="str">
        <x:v>S17 strap breaks/reties, sole tears, both discarded. Barefoot to S19, then new pair.</x:v>
      </x:c>
      <x:c r="F12" s="17" t="str">
        <x:v>No old sandal reappears with retained bundle.</x:v>
      </x:c>
    </x:row>
    <x:row r="13" ht="24" hidden="0" customHeight="1">
      <x:c r="A13" s="18" t="str">
        <x:v>PS-CONT-07</x:v>
      </x:c>
      <x:c r="B13" s="18" t="str">
        <x:v>PS-WAR-BESTROBE / PS-PRP-RING / PS-WAR-NEWSANDALS</x:v>
      </x:c>
      <x:c r="C13" s="18" t="str">
        <x:v>PS-S18, PS-S19, PS-S20, PS-S21, PS-S22</x:v>
      </x:c>
      <x:c r="D13" s="18" t="str">
        <x:v>Requested at end S18; applied S19; retained in feast.</x:v>
      </x:c>
      <x:c r="E13" s="18" t="str">
        <x:v>New best robe over old dirty tunic. Plain ring on right hand. Feet washed then new sandals.</x:v>
      </x:c>
      <x:c r="F13" s="18" t="str">
        <x:v>No transformation into healthy groomed younger; no second inheritance imagery.</x:v>
      </x:c>
    </x:row>
    <x:row r="14" ht="24" hidden="0" customHeight="1">
      <x:c r="A14" s="17" t="str">
        <x:v>PS-CONT-08</x:v>
      </x:c>
      <x:c r="B14" s="17" t="str">
        <x:v>PS-GRM-ELDERPALM</x:v>
      </x:c>
      <x:c r="C14" s="17" t="str">
        <x:v>PS-S03, PS-S04, PS-S05, PS-S06, PS-S07, PS-S11, PS-S14, PS-S16, PS-S20, PS-S21, PS-S22</x:v>
      </x:c>
      <x:c r="D14" s="17" t="str">
        <x:v>Split left palm receives cloth dressing; healing by S11.</x:v>
      </x:c>
      <x:c r="E14" s="17" t="str">
        <x:v>Cistern strain reopens S14; scar by S16 and pressed by thumb S20.</x:v>
      </x:c>
      <x:c r="F14" s="17" t="str">
        <x:v>Exact side/location/orientation; no fresh bleeding at feast.</x:v>
      </x:c>
    </x:row>
    <x:row r="15" ht="36" hidden="0" customHeight="1">
      <x:c r="A15" s="18" t="str">
        <x:v>PS-CONT-09</x:v>
      </x:c>
      <x:c r="B15" s="18" t="str">
        <x:v>PS-WAR-ELDER</x:v>
      </x:c>
      <x:c r="C15" s="18" t="str">
        <x:v>PS-S02, PS-S03, PS-S04, PS-S05, PS-S06, PS-S07, PS-S11, PS-S14, PS-S15, PS-S16, PS-S20, PS-S21, PS-S22</x:v>
      </x:c>
      <x:c r="D15" s="18" t="str">
        <x:v>Ordinary work tunic and sandals.</x:v>
      </x:c>
      <x:c r="E15" s="18" t="str">
        <x:v>S14 hides blood against tunic. S16 permanent pale cuff mend. S15 memory uses earlier costume state.</x:v>
      </x:c>
      <x:c r="F15" s="18" t="str">
        <x:v>Stable hem, sleeves, belt and working wear.</x:v>
      </x:c>
    </x:row>
    <x:row r="16" ht="24" hidden="0" customHeight="1">
      <x:c r="A16" s="17" t="str">
        <x:v>PS-CONT-10</x:v>
      </x:c>
      <x:c r="B16" s="17" t="str">
        <x:v>PS-PRP-WATERSKIN</x:v>
      </x:c>
      <x:c r="C16" s="17" t="str">
        <x:v>PS-S05, PS-S06, PS-S07, PS-S08, PS-S09, PS-S10, PS-S12, PS-S13, PS-S15, PS-S17, PS-S18, PS-S19</x:v>
      </x:c>
      <x:c r="D16" s="17" t="str">
        <x:v>Neatly repaired seam underneath.</x:v>
      </x:c>
      <x:c r="E16" s="17" t="str">
        <x:v>S10 wine spill; retrieved under bench; carried through famine and return, kept with arrival belongings.</x:v>
      </x:c>
      <x:c r="F16" s="17" t="str">
        <x:v>Same seam, stain and strap; repair holds; no sale/discard.</x:v>
      </x:c>
    </x:row>
    <x:row r="17" ht="24" hidden="0" customHeight="1">
      <x:c r="A17" s="18" t="str">
        <x:v>PS-CONT-11</x:v>
      </x:c>
      <x:c r="B17" s="18" t="str">
        <x:v>PS-PRP-BASKETMENDED</x:v>
      </x:c>
      <x:c r="C17" s="18" t="str">
        <x:v>PS-S02, PS-S06, PS-S14, PS-S15</x:v>
      </x:c>
      <x:c r="D17" s="18" t="str">
        <x:v>Broken handle repaired quickly by younger S2.</x:v>
      </x:c>
      <x:c r="E17" s="18" t="str">
        <x:v>S14 same knot loosens; elder gathers spilled grain and remends. S15 S2 memory predates failure.</x:v>
      </x:c>
      <x:c r="F17" s="18" t="str">
        <x:v>Same basket dimensions, handle break and cord material.</x:v>
      </x:c>
    </x:row>
    <x:row r="18" ht="24" hidden="0" customHeight="1">
      <x:c r="A18" s="17" t="str">
        <x:v>PS-CONT-12</x:v>
      </x:c>
      <x:c r="B18" s="17" t="str">
        <x:v>PS-PRP-BREADCLOTH</x:v>
      </x:c>
      <x:c r="C18" s="17" t="str">
        <x:v>PS-S07, PS-S15, PS-S17, PS-S18, PS-S19</x:v>
      </x:c>
      <x:c r="D18" s="17" t="str">
        <x:v>Hannah’s modest bread wrapping cloth.</x:v>
      </x:c>
      <x:c r="E18" s="17" t="str">
        <x:v>Bread-filled departure; empty scrap found S15, folded into bundle; checked/repacked S17; retained on arrival.</x:v>
      </x:c>
      <x:c r="F18" s="17" t="str">
        <x:v>Same textile pattern/weave and fold damage; no food magically returns.</x:v>
      </x:c>
    </x:row>
    <x:row r="19" ht="24" hidden="0" customHeight="1">
      <x:c r="A19" s="18" t="str">
        <x:v>PS-CONT-13</x:v>
      </x:c>
      <x:c r="B19" s="18" t="str">
        <x:v>PS-PRP-BEDDING / PS-PRP-MONEYPOUCH</x:v>
      </x:c>
      <x:c r="C19" s="18" t="str">
        <x:v>PS-S06, PS-S07, PS-S08, PS-S09, PS-S10, PS-S12, PS-S13, PS-S15, PS-S17, PS-S18, PS-S19</x:v>
      </x:c>
      <x:c r="D19" s="18" t="str">
        <x:v>Travel bedding/clothes bundle and pouch start adequately supplied.</x:v>
      </x:c>
      <x:c r="E19" s="18" t="str">
        <x:v>Pouch empty after last coins; bedding survives lodging eviction, stair eviction, pig lean-to and return. Bundle set down S18.</x:v>
      </x:c>
      <x:c r="F19" s="18" t="str">
        <x:v>No invented forgotten silver found S15; no new luggage.</x:v>
      </x:c>
    </x:row>
    <x:row r="20" ht="24" hidden="0" customHeight="1">
      <x:c r="A20" s="17" t="str">
        <x:v>PS-CONT-14</x:v>
      </x:c>
      <x:c r="B20" s="17" t="str">
        <x:v>PS-PRP-COINS / PS-PRP-ESTATEDOC</x:v>
      </x:c>
      <x:c r="C20" s="17" t="str">
        <x:v>PS-S06, PS-S08, PS-S09, PS-S10, PS-S12, PS-S13</x:v>
      </x:c>
      <x:c r="D20" s="17" t="str">
        <x:v>Visible division between both sons; money values unspecified.</x:v>
      </x:c>
      <x:c r="E20" s="17" t="str">
        <x:v>Bundles → excess payments → two small coins → no spendable money. Damon’s copper S13 belongs to Damon.</x:v>
      </x:c>
      <x:c r="F20" s="17" t="str">
        <x:v>No second inheritance at restoration; no modern currency or invented numerical wealth.</x:v>
      </x:c>
    </x:row>
    <x:row r="21" ht="24" hidden="0" customHeight="1">
      <x:c r="A21" s="18" t="str">
        <x:v>PS-CONT-15</x:v>
      </x:c>
      <x:c r="B21" s="18" t="str">
        <x:v>PS-LOC-TERRACE / PS-PRP-FIELDSTONES</x:v>
      </x:c>
      <x:c r="C21" s="18" t="str">
        <x:v>PS-S02, PS-S06, PS-S11, PS-S15, PS-S16, PS-S19, PS-S20</x:v>
      </x:c>
      <x:c r="D21" s="18" t="str">
        <x:v>One retaining-wall repair, with meaningful visible progress.</x:v>
      </x:c>
      <x:c r="E21" s="18" t="str">
        <x:v>S2 long slump; S6 work in progress; S11 completed seating section; S16 only short upper run remains. S15 exact S2 memory.</x:v>
      </x:c>
      <x:c r="F21" s="18" t="str">
        <x:v>Same geology, ground, line and route to house; never reset to collapsed wall late.</x:v>
      </x:c>
    </x:row>
    <x:row r="22" ht="36" hidden="0" customHeight="1">
      <x:c r="A22" s="17" t="str">
        <x:v>PS-CONT-16</x:v>
      </x:c>
      <x:c r="B22" s="17" t="str">
        <x:v>PS-LOC-HOMESTEAD</x:v>
      </x:c>
      <x:c r="C22" s="17" t="str">
        <x:v>PS-S02, PS-S03, PS-S04, PS-S05, PS-S06, PS-S07, PS-S11, PS-S14, PS-S16, PS-S17, PS-S18, PS-S19, PS-S20, PS-S21, PS-S22</x:v>
      </x:c>
      <x:c r="D22" s="17" t="str">
        <x:v>Road visible from entrance, upper terrace above courtyard, connected cistern/store/pen.</x:v>
      </x:c>
      <x:c r="E22" s="17" t="str">
        <x:v>Day/night and working/feast dressing change without moving architecture.</x:v>
      </x:c>
      <x:c r="F22" s="17" t="str">
        <x:v>Doorpost, threshold, courtyard access, field path and table sightline.</x:v>
      </x:c>
    </x:row>
    <x:row r="23" ht="15" hidden="0" customHeight="1">
      <x:c r="A23" s="18" t="str">
        <x:v>PS-CONT-17</x:v>
      </x:c>
      <x:c r="B23" s="18" t="str">
        <x:v>PS-LOC-JOURNEY</x:v>
      </x:c>
      <x:c r="C23" s="18" t="str">
        <x:v>PS-S08, PS-S17</x:v>
      </x:c>
      <x:c r="D23" s="18" t="str">
        <x:v>Identical exposed ridge, ravine and road fork.</x:v>
      </x:c>
      <x:c r="E23" s="18" t="str">
        <x:v>Outward chooses broader road; return selects narrow home road.</x:v>
      </x:c>
      <x:c r="F23" s="18" t="str">
        <x:v>Geography, travel direction and distant town/home relationships.</x:v>
      </x:c>
    </x:row>
    <x:row r="24" ht="15" hidden="0" customHeight="1">
      <x:c r="A24" s="17" t="str">
        <x:v>PS-CONT-18</x:v>
      </x:c>
      <x:c r="B24" s="17" t="str">
        <x:v>PS-LOC-MARKET / PS-LOC-FAMINE</x:v>
      </x:c>
      <x:c r="C24" s="17" t="str">
        <x:v>PS-S09, PS-S12, PS-S13</x:v>
      </x:c>
      <x:c r="D24" s="17" t="str">
        <x:v>One recognizable foreign market.</x:v>
      </x:c>
      <x:c r="E24" s="17" t="str">
        <x:v>Stocks deplete, portions shrink, grain store remains shut; architecture survives.</x:v>
      </x:c>
      <x:c r="F24" s="17" t="str">
        <x:v>Same awnings, bread stall and colonnade; no modern or later monumental city.</x:v>
      </x:c>
    </x:row>
    <x:row r="25" ht="15" hidden="0" customHeight="1">
      <x:c r="A25" s="18" t="str">
        <x:v>PS-CONT-19</x:v>
      </x:c>
      <x:c r="B25" s="18" t="str">
        <x:v>PS-ANM-PACKDONKEY / PS-EXT-CARRIERS</x:v>
      </x:c>
      <x:c r="C25" s="18" t="str">
        <x:v>PS-S02, PS-S03, PS-S07, PS-S08</x:v>
      </x:c>
      <x:c r="D25" s="18" t="str">
        <x:v>Same two carriers and pack donkey.</x:v>
      </x:c>
      <x:c r="E25" s="18" t="str">
        <x:v>Incoming trade bundles replaced/added with younger’s bedding at departure; separate at fork.</x:v>
      </x:c>
      <x:c r="F25" s="18" t="str">
        <x:v>Faces, coat marking, pack tack and number of carriers.</x:v>
      </x:c>
    </x:row>
    <x:row r="26" ht="15" hidden="0" customHeight="1">
      <x:c r="A26" s="17" t="str">
        <x:v>PS-CONT-20</x:v>
      </x:c>
      <x:c r="B26" s="17" t="str">
        <x:v>PS-ANM-PIGS / PS-FOD-PODS</x:v>
      </x:c>
      <x:c r="C26" s="17" t="str">
        <x:v>PS-S15</x:v>
      </x:c>
      <x:c r="D26" s="17" t="str">
        <x:v>Pigs confined to foreign employer’s enclosure.</x:v>
      </x:c>
      <x:c r="E26" s="17" t="str">
        <x:v>Pod lifted toward mouth, dropped, taken by pig; basket left at gate at departure.</x:v>
      </x:c>
      <x:c r="F26" s="17" t="str">
        <x:v>No pigs on home farm; younger does not visibly consume pod.</x:v>
      </x:c>
    </x:row>
    <x:row r="27" ht="24" hidden="0" customHeight="1">
      <x:c r="A27" s="18" t="str">
        <x:v>PS-CONT-21</x:v>
      </x:c>
      <x:c r="B27" s="18" t="str">
        <x:v>PS-ANM-CALF / PS-FOD-CALFMEAT</x:v>
      </x:c>
      <x:c r="C27" s="18" t="str">
        <x:v>PS-S19, PS-S20, PS-S21, PS-S22</x:v>
      </x:c>
      <x:c r="D27" s="18" t="str">
        <x:v>Calf alive in pen at beginning of prep; cooked meat at feast.</x:v>
      </x:c>
      <x:c r="E27" s="18" t="str">
        <x:v>Led out; slaughter offscreen; time compressed through cooking work before meal.</x:v>
      </x:c>
      <x:c r="F27" s="18" t="str">
        <x:v>No live calf in continuing feast backgrounds; no instantaneous raw-to-plated cut implying zero time.</x:v>
      </x:c>
    </x:row>
    <x:row r="28" ht="15" hidden="0" customHeight="1">
      <x:c r="A28" s="17" t="str">
        <x:v>PS-CONT-22</x:v>
      </x:c>
      <x:c r="B28" s="17" t="str">
        <x:v>PS-PRP-ELDERBOWL</x:v>
      </x:c>
      <x:c r="C28" s="17" t="str">
        <x:v>PS-S16, PS-S20, PS-S21</x:v>
      </x:c>
      <x:c r="D28" s="17" t="str">
        <x:v>Father brings food bowl to wall; elder finishes meal.</x:v>
      </x:c>
      <x:c r="E28" s="17" t="str">
        <x:v>Same bowl carried empty down path, set beside threshold S20 and seen S21.</x:v>
      </x:c>
      <x:c r="F28" s="17" t="str">
        <x:v>Object shape/finish, empty state, position beside threshold.</x:v>
      </x:c>
    </x:row>
    <x:row r="29" ht="24" hidden="0" customHeight="1">
      <x:c r="A29" s="18" t="str">
        <x:v>PS-CONT-23</x:v>
      </x:c>
      <x:c r="B29" s="18" t="str">
        <x:v>PS-GRM-FATHERDUST / PS-WAR-FATHER</x:v>
      </x:c>
      <x:c r="C29" s="18" t="str">
        <x:v>PS-S18, PS-S19, PS-S20, PS-S21, PS-S22</x:v>
      </x:c>
      <x:c r="D29" s="18" t="str">
        <x:v>Father kneels in road dust with younger and carries transferred dirt.</x:v>
      </x:c>
      <x:c r="E29" s="18" t="str">
        <x:v>Younger’s attempted brushing stops; same dusty clothes at restoration and personal appeal to elder.</x:v>
      </x:c>
      <x:c r="F29" s="18" t="str">
        <x:v>Dust locations and intensity, mantle and sleeves.</x:v>
      </x:c>
    </x:row>
    <x:row r="30" ht="24" hidden="0" customHeight="1">
      <x:c r="A30" s="17" t="str">
        <x:v>PS-CONT-24</x:v>
      </x:c>
      <x:c r="B30" s="17" t="str">
        <x:v>PS-LOC-FEAST / PS-SET-HOMELAMPS</x:v>
      </x:c>
      <x:c r="C30" s="17" t="str">
        <x:v>PS-S19, PS-S20, PS-S21, PS-S22</x:v>
      </x:c>
      <x:c r="D30" s="17" t="str">
        <x:v>Preparation begins mid-afternoon; several hours compressed before dusk feast. Lamps filled at dusk; local music/dance continues into night.</x:v>
      </x:c>
      <x:c r="E30" s="17" t="str">
        <x:v>Elder’s place remains empty; father leaves table and crosses courtyard to him.</x:v>
      </x:c>
      <x:c r="F30" s="17" t="str">
        <x:v>Table seats, musician positions, doorway visibility, lamp positions and cooking chronology.</x:v>
      </x:c>
    </x:row>
    <x:row r="31" ht="24" hidden="0" customHeight="1">
      <x:c r="A31" s="18" t="str">
        <x:v>PS-CONT-25</x:v>
      </x:c>
      <x:c r="B31" s="18" t="str">
        <x:v>PS-INS-SUPPERMEMORY / PS-INS-BASKETMEMORY</x:v>
      </x:c>
      <x:c r="C31" s="18" t="str">
        <x:v>PS-S02, PS-S04, PS-S15</x:v>
      </x:c>
      <x:c r="D31" s="18" t="str">
        <x:v>Ordinary silent memory fragments only.</x:v>
      </x:c>
      <x:c r="E31" s="18" t="str">
        <x:v>Reuse S2/S4 actors, actions, costumes, props and light.</x:v>
      </x:c>
      <x:c r="F31" s="18" t="str">
        <x:v>No new house, new child actors, voiceover, golden idealization or later wound/scar state.</x:v>
      </x:c>
    </x:row>
    <x:row r="32" ht="15" hidden="0" customHeight="1">
      <x:c r="A32" s="17" t="str">
        <x:v>PS-CONT-26</x:v>
      </x:c>
      <x:c r="B32" s="17" t="str">
        <x:v>PS-LOC-ENTRANCE</x:v>
      </x:c>
      <x:c r="C32" s="17" t="str">
        <x:v>PS-S20, PS-S21, PS-S22</x:v>
      </x:c>
      <x:c r="D32" s="17" t="str">
        <x:v>Elder outside, father beside him; younger visible inside.</x:v>
      </x:c>
      <x:c r="E32" s="17" t="str">
        <x:v>Younger starts to rise, elder’s grip loosens; cut before any crossing or verbal decision.</x:v>
      </x:c>
      <x:c r="F32" s="17" t="str">
        <x:v>Doorway stays clear; no ending asset depicting elder inside celebration.</x:v>
      </x:c>
    </x:row>
    <x:row r="33" ht="24" hidden="0" customHeight="1">
      <x:c r="A33" s="18" t="str">
        <x:v>PS-CONT-27</x:v>
      </x:c>
      <x:c r="B33" s="18" t="str">
        <x:v>Season / food continuity</x:v>
      </x:c>
      <x:c r="C33" s="18" t="str">
        <x:v>PS-S02, PS-S03, PS-S06, PS-S07, PS-S08, PS-S11, PS-S13, PS-S14, PS-S16, PS-S17, PS-S19</x:v>
      </x:c>
      <x:c r="D33" s="18" t="str">
        <x:v>Late-spring stubble at opening, weeks of growing dryness and regional famine abroad.</x:v>
      </x:c>
      <x:c r="E33" s="18" t="str">
        <x:v>Do not show different fruit harvests ripening in one week; home remains functioning while foreign region suffers famine.</x:v>
      </x:c>
      <x:c r="F33" s="18" t="str">
        <x:v>No maize, tomatoes, potatoes, modern food packaging or incompatible seasonal abundance.</x:v>
      </x:c>
    </x:row>
    <x:row r="34" ht="15" hidden="0" customHeight="1">
      <x:c r="A34" s="17" t="str">
        <x:v>PS-CONT-28</x:v>
      </x:c>
      <x:c r="B34" s="17" t="str">
        <x:v>PS-PRP-BEDDING / PS-PRP-BREADCLOTH</x:v>
      </x:c>
      <x:c r="C34" s="17" t="str">
        <x:v>PS-S18, PS-S19</x:v>
      </x:c>
      <x:c r="D34" s="17" t="str">
        <x:v>Bundle set down beside reunion on road. Subsequent pickup is not explicitly scripted.</x:v>
      </x:c>
      <x:c r="E34" s="17" t="str">
        <x:v>At frame planning, establish retrieval and stow before showing belongings back in courtyard.</x:v>
      </x:c>
      <x:c r="F34" s="17" t="str">
        <x:v>Retain bread cloth and personal belongings; do not let bundle teleport between adjacent frames.</x:v>
      </x:c>
    </x:row>
    <x:row r="35" ht="15" hidden="0" customHeight="1">
      <x:c r="A35" s="18" t="str">
        <x:v>PS-CONT-29</x:v>
      </x:c>
      <x:c r="B35" s="18" t="str">
        <x:v>PS-WAR-NEWSANDALS</x:v>
      </x:c>
      <x:c r="C35" s="18" t="str">
        <x:v>PS-S19, PS-S20, PS-S21, PS-S22</x:v>
      </x:c>
      <x:c r="D35" s="18" t="str">
        <x:v>New pair rests beneath washed feet during S19 restoration.</x:v>
      </x:c>
      <x:c r="E35" s="18" t="str">
        <x:v>At frame planning, establish sandals being put on before sustained standing/feast views.</x:v>
      </x:c>
      <x:c r="F35" s="18" t="str">
        <x:v>New pair only; discarded original sandals never return.</x:v>
      </x:c>
    </x:row>
  </x:sheetData>
  <x:pageMargins left="0.7" right="0.7" top="0.75" bottom="0.75" header="0.3" footer="0.3"/>
  <x:tableParts count="1">
    <x:tablePart xmlns:r="http://schemas.openxmlformats.org/officeDocument/2006/relationships" r:id="R0491e2dfb94746fe"/>
  </x:tableParts>
</x:worksheet>
</file>

<file path=xl/worksheets/sheet5.xml><?xml version="1.0" encoding="utf-8"?>
<x:worksheet xmlns:x="http://schemas.openxmlformats.org/spreadsheetml/2006/main">
  <x:sheetPr>
    <x:tabColor rgb="FFB7ADA0"/>
  </x:sheetPr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  <x:col min="3" max="3" width="80" hidden="0" customWidth="1"/>
  </x:cols>
  <x:sheetData>
    <x:row r="1">
      <x:c r="A1" s="30"/>
      <x:c r="B1" s="30"/>
      <x:c r="C1" s="30"/>
    </x:row>
    <x:row r="2" ht="28" customHeight="1">
      <x:c r="A2" s="31" t="str">
        <x:v>Inventory use</x:v>
      </x:c>
      <x:c r="B2" s="30"/>
      <x:c r="C2" s="30"/>
    </x:row>
    <x:row r="3">
      <x:c r="A3" s="32"/>
      <x:c r="B3" s="32"/>
      <x:c r="C3" s="32"/>
    </x:row>
    <x:row r="4">
      <x:c r="A4" s="30"/>
      <x:c r="B4" s="30"/>
      <x:c r="C4" s="30"/>
    </x:row>
    <x:row r="5" ht="24" hidden="0" customHeight="1">
      <x:c r="A5" s="17" t="str">
        <x:v>Scope</x:v>
      </x:c>
      <x:c r="B5" s="17" t="str">
        <x:v>Rows count asset records or reusable packages, not generated images. Every visual asset is planned and approval is Pending. The completed screenplay is the canonical input.</x:v>
      </x:c>
      <x:c r="C5" s="17"/>
    </x:row>
    <x:row r="6" ht="15" hidden="0" customHeight="1">
      <x:c r="A6" s="17" t="str">
        <x:v>Canonical identity</x:v>
      </x:c>
      <x:c r="B6" s="17" t="str">
        <x:v>Approve a stable parent reference before its appearance variants. Parent IDs preserve identity across wardrobe, grooming, locations and props.</x:v>
      </x:c>
      <x:c r="C6" s="17"/>
    </x:row>
    <x:row r="7" ht="15" hidden="0" customHeight="1">
      <x:c r="A7" s="17" t="str">
        <x:v>Approval fields</x:v>
      </x:c>
      <x:c r="B7" s="17" t="str">
        <x:v>Amber cells are editable. Set the approval status and paste the approved asset path after review. Every entry starts Pending.</x:v>
      </x:c>
      <x:c r="C7" s="17"/>
    </x:row>
    <x:row r="8" ht="15" hidden="0" customHeight="1">
      <x:c r="A8" s="17" t="str">
        <x:v>Scene links</x:v>
      </x:c>
      <x:c r="B8" s="17" t="str">
        <x:v>Assets lists all scene uses. Scene Links stores the same relationship as one row per asset per scene for filtering and production handoff.</x:v>
      </x:c>
      <x:c r="C8" s="17"/>
    </x:row>
    <x:row r="9" ht="24" hidden="0" customHeight="1">
      <x:c r="A9" s="17" t="str">
        <x:v>Time</x:v>
      </x:c>
      <x:c r="B9" s="17" t="str">
        <x:v>The Scenes tab calculates duration and cumulative film time from numeric seconds. The 30:00 target includes the final hold and fade specified in the screenplay.</x:v>
      </x:c>
      <x:c r="C9" s="17"/>
    </x:row>
    <x:row r="10" ht="24" hidden="0" customHeight="1">
      <x:c r="A10" s="17" t="str">
        <x:v>Continuity</x:v>
      </x:c>
      <x:c r="B10" s="17" t="str">
        <x:v>State changes belong to the same canonical parent. Preserve anatomy, face, costume construction, object damage and location geography through each transition.</x:v>
      </x:c>
      <x:c r="C10" s="17"/>
    </x:row>
    <x:row r="11" ht="24" hidden="0" customHeight="1">
      <x:c r="A11" s="17" t="str">
        <x:v>Next production stages</x:v>
      </x:c>
      <x:c r="B11" s="17" t="str">
        <x:v>Complete visual development, then cinematography, then prompts. Prompts must reference approved canonical assets. Approve assets before first/last frames and approve those frames before video generation.</x:v>
      </x:c>
      <x:c r="C11" s="17"/>
    </x:row>
    <x:row r="12" ht="24" hidden="0" customHeight="1">
      <x:c r="A12" s="17" t="str">
        <x:v>Record boundaries</x:v>
      </x:c>
      <x:c r="B12" s="17" t="str">
        <x:v>Grouped rows represent coherent reusable kits or background ensembles. Hero identities, story-critical props and visible state changes have separate records.</x:v>
      </x:c>
      <x:c r="C12" s="17"/>
    </x:row>
    <x:row r="13" ht="15" hidden="0" customHeight="1">
      <x:c r="A13" s="17" t="str">
        <x:v>Inventory revision</x:v>
      </x:c>
      <x:c r="B13" s="17" t="str">
        <x:v>Final screenplay dated 9 September 2026; all visual assets planned and approval pending.</x:v>
      </x:c>
      <x:c r="C13" s="17"/>
    </x:row>
    <x:row r="14" ht="15" hidden="0" customHeight="1">
      <x:c r="A14" s="34" t="str">
        <x:v>Source</x:v>
      </x:c>
      <x:c r="B14" s="34" t="str">
        <x:v>Source title</x:v>
      </x:c>
      <x:c r="C14" s="34" t="str">
        <x:v>Location or URL</x:v>
      </x:c>
    </x:row>
    <x:row r="15" ht="15" hidden="0" customHeight="1">
      <x:c r="A15" s="17" t="str">
        <x:v>SCRIPT</x:v>
      </x:c>
      <x:c r="B15" s="17" t="str">
        <x:v>The Prodigal Son, complete screenplay, 9 September 2026</x:v>
      </x:c>
      <x:c r="C15" s="17" t="str">
        <x:v>Prodigal_Son.fountain, scenes PS-S01–PS-S23</x:v>
      </x:c>
    </x:row>
    <x:row r="16" ht="15" hidden="0" customHeight="1">
      <x:c r="A16" s="17" t="str">
        <x:v>LUKE</x:v>
      </x:c>
      <x:c r="B16" s="17" t="str">
        <x:v>Luke 15, World English Bible (public domain)</x:v>
      </x:c>
      <x:c r="C16" s="17" t="str">
        <x:v>https://www.biblegateway.com/passage/?search=Luke+15&amp;version=WEB</x:v>
      </x:c>
    </x:row>
    <x:row r="17" ht="15" hidden="0" customHeight="1">
      <x:c r="A17" s="17" t="str">
        <x:v>DEUT</x:v>
      </x:c>
      <x:c r="B17" s="17" t="str">
        <x:v>Deuteronomy 21:15–21</x:v>
      </x:c>
      <x:c r="C17" s="17" t="str">
        <x:v>https://bible.usccb.org/bible/deuteronomy/21</x:v>
      </x:c>
    </x:row>
    <x:row r="18" ht="15" hidden="0" customHeight="1">
      <x:c r="A18" s="17" t="str">
        <x:v>SIRACH</x:v>
      </x:c>
      <x:c r="B18" s="17" t="str">
        <x:v>Sirach 33:19–24</x:v>
      </x:c>
      <x:c r="C18" s="17" t="str">
        <x:v>https://bible.usccb.org/bible/sirach/33</x:v>
      </x:c>
    </x:row>
    <x:row r="19" ht="15" hidden="0" customHeight="1">
      <x:c r="A19" s="17" t="str">
        <x:v>LOC-OBJECTS</x:v>
      </x:c>
      <x:c r="B19" s="17" t="str">
        <x:v>Library of Congress / Israel Antiquities Authority, Qumran artifacts</x:v>
      </x:c>
      <x:c r="C19" s="17" t="str">
        <x:v>https://www.loc.gov/exhibits/scrolls/art2.html</x:v>
      </x:c>
    </x:row>
    <x:row r="20" ht="15" hidden="0" customHeight="1">
      <x:c r="A20" s="17" t="str">
        <x:v>LOC-TEXTILE</x:v>
      </x:c>
      <x:c r="B20" s="17" t="str">
        <x:v>Library of Congress, Qumran textiles</x:v>
      </x:c>
      <x:c r="C20" s="17" t="str">
        <x:v>https://www.loc.gov/exhibits/scrolls/art1.html</x:v>
      </x:c>
    </x:row>
    <x:row r="21" ht="15" hidden="0" customHeight="1">
      <x:c r="A21" s="17" t="str">
        <x:v>LOC-INK</x:v>
      </x:c>
      <x:c r="B21" s="17" t="str">
        <x:v>Library of Congress, Qumran inkwell</x:v>
      </x:c>
      <x:c r="C21" s="17" t="str">
        <x:v>https://www.loc.gov/exhibits/scrolls/art3.html</x:v>
      </x:c>
    </x:row>
    <x:row r="22" ht="24" hidden="0" customHeight="1">
      <x:c r="A22" s="17" t="str">
        <x:v>LAMPS</x:v>
      </x:c>
      <x:c r="B22" s="17" t="str">
        <x:v>Milwaukee Public Museum, lamp classifications</x:v>
      </x:c>
      <x:c r="C22" s="17" t="str">
        <x:v>https://www.mpm.edu/index.php/research-collections/anthropology/anthropology-collections-research/mediterranean-oil-lamps/lamp-classifications</x:v>
      </x:c>
    </x:row>
    <x:row r="23">
      <x:c r="A23" s="30"/>
      <x:c r="B23" s="30"/>
      <x:c r="C23" s="30"/>
    </x:row>
    <x:row r="24">
      <x:c r="A24" s="30"/>
      <x:c r="B24" s="30"/>
      <x:c r="C24" s="30"/>
    </x:row>
    <x:row r="25">
      <x:c r="A25" s="30"/>
      <x:c r="B25" s="30"/>
      <x:c r="C25" s="30"/>
    </x:row>
    <x:row r="26">
      <x:c r="A26" s="30"/>
      <x:c r="B26" s="30"/>
      <x:c r="C26" s="30"/>
    </x:row>
    <x:row r="27">
      <x:c r="A27" s="30"/>
      <x:c r="B27" s="30"/>
      <x:c r="C27" s="30"/>
    </x:row>
    <x:row r="28">
      <x:c r="A28" s="30"/>
      <x:c r="B28" s="30"/>
      <x:c r="C28" s="30"/>
    </x:row>
    <x:row r="29">
      <x:c r="A29" s="30"/>
      <x:c r="B29" s="30"/>
      <x:c r="C29" s="30"/>
    </x:row>
    <x:row r="30">
      <x:c r="A30" s="30"/>
      <x:c r="B30" s="30"/>
      <x:c r="C30" s="30"/>
    </x:row>
  </x:sheetData>
  <x:pageMargins left="0.7" right="0.7" top="0.75" bottom="0.75" header="0.3" footer="0.3"/>
</x:worksheet>
</file>